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xmi prasanna\Downloads\"/>
    </mc:Choice>
  </mc:AlternateContent>
  <xr:revisionPtr revIDLastSave="0" documentId="13_ncr:1_{E9552314-55E5-478E-9B4C-0E7257F8B0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Sales Data" sheetId="2" r:id="rId2"/>
  </sheets>
  <definedNames>
    <definedName name="_xlnm._FilterDatabase" localSheetId="1" hidden="1">'Sales Data'!$A$1:$J$121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F16" i="1"/>
  <c r="C16" i="1"/>
  <c r="B16" i="1"/>
  <c r="F15" i="1"/>
  <c r="C15" i="1"/>
  <c r="B15" i="1"/>
  <c r="F14" i="1"/>
  <c r="C14" i="1"/>
  <c r="B14" i="1"/>
  <c r="B8" i="1"/>
  <c r="B7" i="1"/>
  <c r="B6" i="1"/>
  <c r="B9" i="1" s="1"/>
  <c r="B5" i="1"/>
</calcChain>
</file>

<file path=xl/sharedStrings.xml><?xml version="1.0" encoding="utf-8"?>
<sst xmlns="http://schemas.openxmlformats.org/spreadsheetml/2006/main" count="509" uniqueCount="157">
  <si>
    <t>SALES PERFORMANCE DASHBOARD</t>
  </si>
  <si>
    <t>Practice project using sample data | Excel formulas and charts</t>
  </si>
  <si>
    <t>Metric</t>
  </si>
  <si>
    <t>Value</t>
  </si>
  <si>
    <t>Total Sales</t>
  </si>
  <si>
    <t>Total Profit</t>
  </si>
  <si>
    <t>Total Orders</t>
  </si>
  <si>
    <t>Units Sold</t>
  </si>
  <si>
    <t>Profit Margin</t>
  </si>
  <si>
    <t>Monthly Performance</t>
  </si>
  <si>
    <t>Sales by Category</t>
  </si>
  <si>
    <t>Month</t>
  </si>
  <si>
    <t>Sales</t>
  </si>
  <si>
    <t>Profit</t>
  </si>
  <si>
    <t>Category</t>
  </si>
  <si>
    <t>Electronics</t>
  </si>
  <si>
    <t>Office Supplies</t>
  </si>
  <si>
    <t>Furniture</t>
  </si>
  <si>
    <t>Order ID</t>
  </si>
  <si>
    <t>Order Date</t>
  </si>
  <si>
    <t>Region</t>
  </si>
  <si>
    <t>Product</t>
  </si>
  <si>
    <t>Quantity</t>
  </si>
  <si>
    <t>Unit Price</t>
  </si>
  <si>
    <t>Cost</t>
  </si>
  <si>
    <t>ORD-0001</t>
  </si>
  <si>
    <t>South</t>
  </si>
  <si>
    <t>Notebook Pack</t>
  </si>
  <si>
    <t>ORD-0002</t>
  </si>
  <si>
    <t>East</t>
  </si>
  <si>
    <t>Desk Lamp</t>
  </si>
  <si>
    <t>ORD-0003</t>
  </si>
  <si>
    <t>ORD-0004</t>
  </si>
  <si>
    <t>West</t>
  </si>
  <si>
    <t>Desk Organizer</t>
  </si>
  <si>
    <t>ORD-0005</t>
  </si>
  <si>
    <t>North</t>
  </si>
  <si>
    <t>Headphones</t>
  </si>
  <si>
    <t>ORD-0006</t>
  </si>
  <si>
    <t>ORD-0007</t>
  </si>
  <si>
    <t>Keyboard</t>
  </si>
  <si>
    <t>ORD-0008</t>
  </si>
  <si>
    <t>ORD-0009</t>
  </si>
  <si>
    <t>Wireless Mouse</t>
  </si>
  <si>
    <t>ORD-0010</t>
  </si>
  <si>
    <t>Office Chair</t>
  </si>
  <si>
    <t>ORD-0011</t>
  </si>
  <si>
    <t>Printer Paper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</si>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</sst>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&quot;₹&quot;#,##0.00"/>
    <numFmt numFmtId="167" formatCode="0.0%"/>
    <numFmt numFmtId="168" formatCode="mmm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3" borderId="0" xfId="0" applyFont="1" applyFill="1"/>
    <xf numFmtId="0" fontId="4" fillId="0" borderId="0" xfId="0" applyFon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0" fontId="5" fillId="0" borderId="0" xfId="0" applyFont="1"/>
    <xf numFmtId="168" fontId="0" fillId="0" borderId="0" xfId="0" applyNumberFormat="1"/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Dashboard!$A$14:$A$25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Dashboard!$B$14:$B$25</c:f>
              <c:numCache>
                <c:formatCode>"₹"#,##0.00</c:formatCode>
                <c:ptCount val="12"/>
                <c:pt idx="0">
                  <c:v>1339</c:v>
                </c:pt>
                <c:pt idx="1">
                  <c:v>1813</c:v>
                </c:pt>
                <c:pt idx="2">
                  <c:v>295</c:v>
                </c:pt>
                <c:pt idx="3">
                  <c:v>1107</c:v>
                </c:pt>
                <c:pt idx="4">
                  <c:v>3470</c:v>
                </c:pt>
                <c:pt idx="5">
                  <c:v>1374</c:v>
                </c:pt>
                <c:pt idx="6">
                  <c:v>2012</c:v>
                </c:pt>
                <c:pt idx="7">
                  <c:v>2341</c:v>
                </c:pt>
                <c:pt idx="8">
                  <c:v>3348</c:v>
                </c:pt>
                <c:pt idx="9">
                  <c:v>3713</c:v>
                </c:pt>
                <c:pt idx="10">
                  <c:v>2446</c:v>
                </c:pt>
                <c:pt idx="11">
                  <c:v>2008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5C-48B7-9398-F84D3D3AB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1"/>
        </c:title>
        <c:numFmt formatCode="&quot;₹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Dashboard!$F$13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Dashboard!$E$14:$E$16</c:f>
              <c:strCache>
                <c:ptCount val="3"/>
                <c:pt idx="0">
                  <c:v>Electronics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Dashboard!$F$14:$F$16</c:f>
              <c:numCache>
                <c:formatCode>"₹"#,##0.00</c:formatCode>
                <c:ptCount val="3"/>
                <c:pt idx="0">
                  <c:v>8774</c:v>
                </c:pt>
                <c:pt idx="1">
                  <c:v>4176</c:v>
                </c:pt>
                <c:pt idx="2">
                  <c:v>12316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8-4137-98CD-35E7DB49A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&quot;₹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18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3" width="18" customWidth="1"/>
    <col min="4" max="4" width="4" customWidth="1"/>
    <col min="5" max="5" width="22" customWidth="1"/>
    <col min="6" max="6" width="18" customWidth="1"/>
  </cols>
  <sheetData>
    <row r="1" spans="1:6" ht="21" x14ac:dyDescent="0.4">
      <c r="A1" s="11" t="s">
        <v>0</v>
      </c>
      <c r="B1" s="12"/>
      <c r="C1" s="12"/>
      <c r="D1" s="12"/>
      <c r="E1" s="12"/>
      <c r="F1" s="12"/>
    </row>
    <row r="2" spans="1:6" x14ac:dyDescent="0.3">
      <c r="A2" s="1" t="s">
        <v>1</v>
      </c>
    </row>
    <row r="4" spans="1:6" x14ac:dyDescent="0.3">
      <c r="A4" s="2" t="s">
        <v>2</v>
      </c>
      <c r="B4" s="2" t="s">
        <v>3</v>
      </c>
    </row>
    <row r="5" spans="1:6" x14ac:dyDescent="0.3">
      <c r="A5" s="3" t="s">
        <v>4</v>
      </c>
      <c r="B5" s="4">
        <f>SUM('Sales Data'!H2:H121)</f>
        <v>25266</v>
      </c>
    </row>
    <row r="6" spans="1:6" x14ac:dyDescent="0.3">
      <c r="A6" s="3" t="s">
        <v>5</v>
      </c>
      <c r="B6" s="4">
        <f>SUM('Sales Data'!J2:J121)</f>
        <v>10690</v>
      </c>
    </row>
    <row r="7" spans="1:6" x14ac:dyDescent="0.3">
      <c r="A7" s="3" t="s">
        <v>6</v>
      </c>
      <c r="B7" s="5">
        <f>COUNTA('Sales Data'!A2:A121)</f>
        <v>120</v>
      </c>
    </row>
    <row r="8" spans="1:6" x14ac:dyDescent="0.3">
      <c r="A8" s="3" t="s">
        <v>7</v>
      </c>
      <c r="B8" s="5">
        <f>SUM('Sales Data'!F2:F121)</f>
        <v>812</v>
      </c>
    </row>
    <row r="9" spans="1:6" x14ac:dyDescent="0.3">
      <c r="A9" s="3" t="s">
        <v>8</v>
      </c>
      <c r="B9" s="6">
        <f>IFERROR(B6/B5,0)</f>
        <v>0.42309823478192038</v>
      </c>
    </row>
    <row r="12" spans="1:6" ht="15.6" x14ac:dyDescent="0.3">
      <c r="A12" s="7" t="s">
        <v>9</v>
      </c>
      <c r="E12" s="7" t="s">
        <v>10</v>
      </c>
    </row>
    <row r="13" spans="1:6" x14ac:dyDescent="0.3">
      <c r="A13" s="2" t="s">
        <v>11</v>
      </c>
      <c r="B13" s="2" t="s">
        <v>12</v>
      </c>
      <c r="C13" s="2" t="s">
        <v>13</v>
      </c>
      <c r="E13" s="2" t="s">
        <v>14</v>
      </c>
      <c r="F13" s="2" t="s">
        <v>12</v>
      </c>
    </row>
    <row r="14" spans="1:6" x14ac:dyDescent="0.3">
      <c r="A14" s="8">
        <v>45658</v>
      </c>
      <c r="B14" s="4">
        <f>SUMIFS('Sales Data'!$H$2:$H$121,'Sales Data'!$B$2:$B$121,"&gt;="&amp;A14,'Sales Data'!$B$2:$B$121,"&lt;"&amp;EDATE(A14,1))</f>
        <v>1339</v>
      </c>
      <c r="C14" s="4">
        <f>SUMIFS('Sales Data'!$J$2:$J$121,'Sales Data'!$B$2:$B$121,"&gt;="&amp;A14,'Sales Data'!$B$2:$B$121,"&lt;"&amp;EDATE(A14,1))</f>
        <v>662</v>
      </c>
      <c r="E14" t="s">
        <v>15</v>
      </c>
      <c r="F14" s="4">
        <f>SUMIF('Sales Data'!$D$2:$D$121,E14,'Sales Data'!$H$2:$H$121)</f>
        <v>8774</v>
      </c>
    </row>
    <row r="15" spans="1:6" x14ac:dyDescent="0.3">
      <c r="A15" s="8">
        <v>45689</v>
      </c>
      <c r="B15" s="4">
        <f>SUMIFS('Sales Data'!$H$2:$H$121,'Sales Data'!$B$2:$B$121,"&gt;="&amp;A15,'Sales Data'!$B$2:$B$121,"&lt;"&amp;EDATE(A15,1))</f>
        <v>1813</v>
      </c>
      <c r="C15" s="4">
        <f>SUMIFS('Sales Data'!$J$2:$J$121,'Sales Data'!$B$2:$B$121,"&gt;="&amp;A15,'Sales Data'!$B$2:$B$121,"&lt;"&amp;EDATE(A15,1))</f>
        <v>791</v>
      </c>
      <c r="E15" t="s">
        <v>16</v>
      </c>
      <c r="F15" s="4">
        <f>SUMIF('Sales Data'!$D$2:$D$121,E15,'Sales Data'!$H$2:$H$121)</f>
        <v>4176</v>
      </c>
    </row>
    <row r="16" spans="1:6" x14ac:dyDescent="0.3">
      <c r="A16" s="8">
        <v>45717</v>
      </c>
      <c r="B16" s="4">
        <f>SUMIFS('Sales Data'!$H$2:$H$121,'Sales Data'!$B$2:$B$121,"&gt;="&amp;A16,'Sales Data'!$B$2:$B$121,"&lt;"&amp;EDATE(A16,1))</f>
        <v>295</v>
      </c>
      <c r="C16" s="4">
        <f>SUMIFS('Sales Data'!$J$2:$J$121,'Sales Data'!$B$2:$B$121,"&gt;="&amp;A16,'Sales Data'!$B$2:$B$121,"&lt;"&amp;EDATE(A16,1))</f>
        <v>134</v>
      </c>
      <c r="E16" t="s">
        <v>17</v>
      </c>
      <c r="F16" s="4">
        <f>SUMIF('Sales Data'!$D$2:$D$121,E16,'Sales Data'!$H$2:$H$121)</f>
        <v>12316</v>
      </c>
    </row>
    <row r="17" spans="1:3" x14ac:dyDescent="0.3">
      <c r="A17" s="8">
        <v>45748</v>
      </c>
      <c r="B17" s="4">
        <f>SUMIFS('Sales Data'!$H$2:$H$121,'Sales Data'!$B$2:$B$121,"&gt;="&amp;A17,'Sales Data'!$B$2:$B$121,"&lt;"&amp;EDATE(A17,1))</f>
        <v>1107</v>
      </c>
      <c r="C17" s="4">
        <f>SUMIFS('Sales Data'!$J$2:$J$121,'Sales Data'!$B$2:$B$121,"&gt;="&amp;A17,'Sales Data'!$B$2:$B$121,"&lt;"&amp;EDATE(A17,1))</f>
        <v>514</v>
      </c>
    </row>
    <row r="18" spans="1:3" x14ac:dyDescent="0.3">
      <c r="A18" s="8">
        <v>45778</v>
      </c>
      <c r="B18" s="4">
        <f>SUMIFS('Sales Data'!$H$2:$H$121,'Sales Data'!$B$2:$B$121,"&gt;="&amp;A18,'Sales Data'!$B$2:$B$121,"&lt;"&amp;EDATE(A18,1))</f>
        <v>3470</v>
      </c>
      <c r="C18" s="4">
        <f>SUMIFS('Sales Data'!$J$2:$J$121,'Sales Data'!$B$2:$B$121,"&gt;="&amp;A18,'Sales Data'!$B$2:$B$121,"&lt;"&amp;EDATE(A18,1))</f>
        <v>1235</v>
      </c>
    </row>
    <row r="19" spans="1:3" x14ac:dyDescent="0.3">
      <c r="A19" s="8">
        <v>45809</v>
      </c>
      <c r="B19" s="4">
        <f>SUMIFS('Sales Data'!$H$2:$H$121,'Sales Data'!$B$2:$B$121,"&gt;="&amp;A19,'Sales Data'!$B$2:$B$121,"&lt;"&amp;EDATE(A19,1))</f>
        <v>1374</v>
      </c>
      <c r="C19" s="4">
        <f>SUMIFS('Sales Data'!$J$2:$J$121,'Sales Data'!$B$2:$B$121,"&gt;="&amp;A19,'Sales Data'!$B$2:$B$121,"&lt;"&amp;EDATE(A19,1))</f>
        <v>632</v>
      </c>
    </row>
    <row r="20" spans="1:3" x14ac:dyDescent="0.3">
      <c r="A20" s="8">
        <v>45839</v>
      </c>
      <c r="B20" s="4">
        <f>SUMIFS('Sales Data'!$H$2:$H$121,'Sales Data'!$B$2:$B$121,"&gt;="&amp;A20,'Sales Data'!$B$2:$B$121,"&lt;"&amp;EDATE(A20,1))</f>
        <v>2012</v>
      </c>
      <c r="C20" s="4">
        <f>SUMIFS('Sales Data'!$J$2:$J$121,'Sales Data'!$B$2:$B$121,"&gt;="&amp;A20,'Sales Data'!$B$2:$B$121,"&lt;"&amp;EDATE(A20,1))</f>
        <v>746</v>
      </c>
    </row>
    <row r="21" spans="1:3" x14ac:dyDescent="0.3">
      <c r="A21" s="8">
        <v>45870</v>
      </c>
      <c r="B21" s="4">
        <f>SUMIFS('Sales Data'!$H$2:$H$121,'Sales Data'!$B$2:$B$121,"&gt;="&amp;A21,'Sales Data'!$B$2:$B$121,"&lt;"&amp;EDATE(A21,1))</f>
        <v>2341</v>
      </c>
      <c r="C21" s="4">
        <f>SUMIFS('Sales Data'!$J$2:$J$121,'Sales Data'!$B$2:$B$121,"&gt;="&amp;A21,'Sales Data'!$B$2:$B$121,"&lt;"&amp;EDATE(A21,1))</f>
        <v>948</v>
      </c>
    </row>
    <row r="22" spans="1:3" x14ac:dyDescent="0.3">
      <c r="A22" s="8">
        <v>45901</v>
      </c>
      <c r="B22" s="4">
        <f>SUMIFS('Sales Data'!$H$2:$H$121,'Sales Data'!$B$2:$B$121,"&gt;="&amp;A22,'Sales Data'!$B$2:$B$121,"&lt;"&amp;EDATE(A22,1))</f>
        <v>3348</v>
      </c>
      <c r="C22" s="4">
        <f>SUMIFS('Sales Data'!$J$2:$J$121,'Sales Data'!$B$2:$B$121,"&gt;="&amp;A22,'Sales Data'!$B$2:$B$121,"&lt;"&amp;EDATE(A22,1))</f>
        <v>1437</v>
      </c>
    </row>
    <row r="23" spans="1:3" x14ac:dyDescent="0.3">
      <c r="A23" s="8">
        <v>45931</v>
      </c>
      <c r="B23" s="4">
        <f>SUMIFS('Sales Data'!$H$2:$H$121,'Sales Data'!$B$2:$B$121,"&gt;="&amp;A23,'Sales Data'!$B$2:$B$121,"&lt;"&amp;EDATE(A23,1))</f>
        <v>3713</v>
      </c>
      <c r="C23" s="4">
        <f>SUMIFS('Sales Data'!$J$2:$J$121,'Sales Data'!$B$2:$B$121,"&gt;="&amp;A23,'Sales Data'!$B$2:$B$121,"&lt;"&amp;EDATE(A23,1))</f>
        <v>1511</v>
      </c>
    </row>
    <row r="24" spans="1:3" x14ac:dyDescent="0.3">
      <c r="A24" s="8">
        <v>45962</v>
      </c>
      <c r="B24" s="4">
        <f>SUMIFS('Sales Data'!$H$2:$H$121,'Sales Data'!$B$2:$B$121,"&gt;="&amp;A24,'Sales Data'!$B$2:$B$121,"&lt;"&amp;EDATE(A24,1))</f>
        <v>2446</v>
      </c>
      <c r="C24" s="4">
        <f>SUMIFS('Sales Data'!$J$2:$J$121,'Sales Data'!$B$2:$B$121,"&gt;="&amp;A24,'Sales Data'!$B$2:$B$121,"&lt;"&amp;EDATE(A24,1))</f>
        <v>1177</v>
      </c>
    </row>
    <row r="25" spans="1:3" x14ac:dyDescent="0.3">
      <c r="A25" s="8">
        <v>45992</v>
      </c>
      <c r="B25" s="4">
        <f>SUMIFS('Sales Data'!$H$2:$H$121,'Sales Data'!$B$2:$B$121,"&gt;="&amp;A25,'Sales Data'!$B$2:$B$121,"&lt;"&amp;EDATE(A25,1))</f>
        <v>2008</v>
      </c>
      <c r="C25" s="4">
        <f>SUMIFS('Sales Data'!$J$2:$J$121,'Sales Data'!$B$2:$B$121,"&gt;="&amp;A25,'Sales Data'!$B$2:$B$121,"&lt;"&amp;EDATE(A25,1))</f>
        <v>903</v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12" customWidth="1"/>
    <col min="4" max="4" width="20" customWidth="1"/>
    <col min="5" max="5" width="22" customWidth="1"/>
    <col min="6" max="6" width="12" customWidth="1"/>
    <col min="7" max="10" width="14" customWidth="1"/>
  </cols>
  <sheetData>
    <row r="1" spans="1:10" x14ac:dyDescent="0.3">
      <c r="A1" s="9" t="s">
        <v>18</v>
      </c>
      <c r="B1" s="9" t="s">
        <v>19</v>
      </c>
      <c r="C1" s="9" t="s">
        <v>20</v>
      </c>
      <c r="D1" s="9" t="s">
        <v>14</v>
      </c>
      <c r="E1" s="9" t="s">
        <v>21</v>
      </c>
      <c r="F1" s="9" t="s">
        <v>22</v>
      </c>
      <c r="G1" s="9" t="s">
        <v>23</v>
      </c>
      <c r="H1" s="9" t="s">
        <v>12</v>
      </c>
      <c r="I1" s="9" t="s">
        <v>24</v>
      </c>
      <c r="J1" s="9" t="s">
        <v>13</v>
      </c>
    </row>
    <row r="2" spans="1:10" x14ac:dyDescent="0.3">
      <c r="A2" t="s">
        <v>25</v>
      </c>
      <c r="B2" s="10">
        <v>45666</v>
      </c>
      <c r="C2" t="s">
        <v>26</v>
      </c>
      <c r="D2" t="s">
        <v>16</v>
      </c>
      <c r="E2" t="s">
        <v>27</v>
      </c>
      <c r="F2">
        <v>3</v>
      </c>
      <c r="G2" s="4">
        <v>12</v>
      </c>
      <c r="H2" s="4">
        <v>36</v>
      </c>
      <c r="I2" s="4">
        <v>15</v>
      </c>
      <c r="J2" s="4">
        <v>21</v>
      </c>
    </row>
    <row r="3" spans="1:10" x14ac:dyDescent="0.3">
      <c r="A3" t="s">
        <v>28</v>
      </c>
      <c r="B3" s="10">
        <v>45998</v>
      </c>
      <c r="C3" t="s">
        <v>29</v>
      </c>
      <c r="D3" t="s">
        <v>17</v>
      </c>
      <c r="E3" t="s">
        <v>30</v>
      </c>
      <c r="F3">
        <v>10</v>
      </c>
      <c r="G3" s="4">
        <v>38</v>
      </c>
      <c r="H3" s="4">
        <v>380</v>
      </c>
      <c r="I3" s="4">
        <v>210</v>
      </c>
      <c r="J3" s="4">
        <v>170</v>
      </c>
    </row>
    <row r="4" spans="1:10" x14ac:dyDescent="0.3">
      <c r="A4" t="s">
        <v>31</v>
      </c>
      <c r="B4" s="10">
        <v>45822</v>
      </c>
      <c r="C4" t="s">
        <v>26</v>
      </c>
      <c r="D4" t="s">
        <v>17</v>
      </c>
      <c r="E4" t="s">
        <v>30</v>
      </c>
      <c r="F4">
        <v>1</v>
      </c>
      <c r="G4" s="4">
        <v>38</v>
      </c>
      <c r="H4" s="4">
        <v>38</v>
      </c>
      <c r="I4" s="4">
        <v>21</v>
      </c>
      <c r="J4" s="4">
        <v>17</v>
      </c>
    </row>
    <row r="5" spans="1:10" x14ac:dyDescent="0.3">
      <c r="A5" t="s">
        <v>32</v>
      </c>
      <c r="B5" s="10">
        <v>46020</v>
      </c>
      <c r="C5" t="s">
        <v>33</v>
      </c>
      <c r="D5" t="s">
        <v>16</v>
      </c>
      <c r="E5" t="s">
        <v>34</v>
      </c>
      <c r="F5">
        <v>12</v>
      </c>
      <c r="G5" s="4">
        <v>20</v>
      </c>
      <c r="H5" s="4">
        <v>240</v>
      </c>
      <c r="I5" s="4">
        <v>108</v>
      </c>
      <c r="J5" s="4">
        <v>132</v>
      </c>
    </row>
    <row r="6" spans="1:10" x14ac:dyDescent="0.3">
      <c r="A6" t="s">
        <v>35</v>
      </c>
      <c r="B6" s="10">
        <v>45660</v>
      </c>
      <c r="C6" t="s">
        <v>36</v>
      </c>
      <c r="D6" t="s">
        <v>15</v>
      </c>
      <c r="E6" t="s">
        <v>37</v>
      </c>
      <c r="F6">
        <v>9</v>
      </c>
      <c r="G6" s="4">
        <v>45</v>
      </c>
      <c r="H6" s="4">
        <v>405</v>
      </c>
      <c r="I6" s="4">
        <v>243</v>
      </c>
      <c r="J6" s="4">
        <v>162</v>
      </c>
    </row>
    <row r="7" spans="1:10" x14ac:dyDescent="0.3">
      <c r="A7" t="s">
        <v>38</v>
      </c>
      <c r="B7" s="10">
        <v>45844</v>
      </c>
      <c r="C7" t="s">
        <v>36</v>
      </c>
      <c r="D7" t="s">
        <v>15</v>
      </c>
      <c r="E7" t="s">
        <v>37</v>
      </c>
      <c r="F7">
        <v>3</v>
      </c>
      <c r="G7" s="4">
        <v>45</v>
      </c>
      <c r="H7" s="4">
        <v>135</v>
      </c>
      <c r="I7" s="4">
        <v>81</v>
      </c>
      <c r="J7" s="4">
        <v>54</v>
      </c>
    </row>
    <row r="8" spans="1:10" x14ac:dyDescent="0.3">
      <c r="A8" t="s">
        <v>39</v>
      </c>
      <c r="B8" s="10">
        <v>45952</v>
      </c>
      <c r="C8" t="s">
        <v>26</v>
      </c>
      <c r="D8" t="s">
        <v>15</v>
      </c>
      <c r="E8" t="s">
        <v>40</v>
      </c>
      <c r="F8">
        <v>12</v>
      </c>
      <c r="G8" s="4">
        <v>32</v>
      </c>
      <c r="H8" s="4">
        <v>384</v>
      </c>
      <c r="I8" s="4">
        <v>216</v>
      </c>
      <c r="J8" s="4">
        <v>168</v>
      </c>
    </row>
    <row r="9" spans="1:10" x14ac:dyDescent="0.3">
      <c r="A9" t="s">
        <v>41</v>
      </c>
      <c r="B9" s="10">
        <v>45691</v>
      </c>
      <c r="C9" t="s">
        <v>33</v>
      </c>
      <c r="D9" t="s">
        <v>16</v>
      </c>
      <c r="E9" t="s">
        <v>27</v>
      </c>
      <c r="F9">
        <v>4</v>
      </c>
      <c r="G9" s="4">
        <v>12</v>
      </c>
      <c r="H9" s="4">
        <v>48</v>
      </c>
      <c r="I9" s="4">
        <v>20</v>
      </c>
      <c r="J9" s="4">
        <v>28</v>
      </c>
    </row>
    <row r="10" spans="1:10" x14ac:dyDescent="0.3">
      <c r="A10" t="s">
        <v>42</v>
      </c>
      <c r="B10" s="10">
        <v>45958</v>
      </c>
      <c r="C10" t="s">
        <v>33</v>
      </c>
      <c r="D10" t="s">
        <v>15</v>
      </c>
      <c r="E10" t="s">
        <v>43</v>
      </c>
      <c r="F10">
        <v>9</v>
      </c>
      <c r="G10" s="4">
        <v>18</v>
      </c>
      <c r="H10" s="4">
        <v>162</v>
      </c>
      <c r="I10" s="4">
        <v>81</v>
      </c>
      <c r="J10" s="4">
        <v>81</v>
      </c>
    </row>
    <row r="11" spans="1:10" x14ac:dyDescent="0.3">
      <c r="A11" t="s">
        <v>44</v>
      </c>
      <c r="B11" s="10">
        <v>46021</v>
      </c>
      <c r="C11" t="s">
        <v>26</v>
      </c>
      <c r="D11" t="s">
        <v>17</v>
      </c>
      <c r="E11" t="s">
        <v>45</v>
      </c>
      <c r="F11">
        <v>3</v>
      </c>
      <c r="G11" s="4">
        <v>120</v>
      </c>
      <c r="H11" s="4">
        <v>360</v>
      </c>
      <c r="I11" s="4">
        <v>246</v>
      </c>
      <c r="J11" s="4">
        <v>114</v>
      </c>
    </row>
    <row r="12" spans="1:10" x14ac:dyDescent="0.3">
      <c r="A12" t="s">
        <v>46</v>
      </c>
      <c r="B12" s="10">
        <v>45858</v>
      </c>
      <c r="C12" t="s">
        <v>26</v>
      </c>
      <c r="D12" t="s">
        <v>16</v>
      </c>
      <c r="E12" t="s">
        <v>47</v>
      </c>
      <c r="F12">
        <v>10</v>
      </c>
      <c r="G12" s="4">
        <v>8</v>
      </c>
      <c r="H12" s="4">
        <v>80</v>
      </c>
      <c r="I12" s="4">
        <v>40</v>
      </c>
      <c r="J12" s="4">
        <v>40</v>
      </c>
    </row>
    <row r="13" spans="1:10" x14ac:dyDescent="0.3">
      <c r="A13" t="s">
        <v>48</v>
      </c>
      <c r="B13" s="10">
        <v>45784</v>
      </c>
      <c r="C13" t="s">
        <v>26</v>
      </c>
      <c r="D13" t="s">
        <v>16</v>
      </c>
      <c r="E13" t="s">
        <v>27</v>
      </c>
      <c r="F13">
        <v>7</v>
      </c>
      <c r="G13" s="4">
        <v>12</v>
      </c>
      <c r="H13" s="4">
        <v>84</v>
      </c>
      <c r="I13" s="4">
        <v>35</v>
      </c>
      <c r="J13" s="4">
        <v>49</v>
      </c>
    </row>
    <row r="14" spans="1:10" x14ac:dyDescent="0.3">
      <c r="A14" t="s">
        <v>49</v>
      </c>
      <c r="B14" s="10">
        <v>45879</v>
      </c>
      <c r="C14" t="s">
        <v>33</v>
      </c>
      <c r="D14" t="s">
        <v>15</v>
      </c>
      <c r="E14" t="s">
        <v>43</v>
      </c>
      <c r="F14">
        <v>4</v>
      </c>
      <c r="G14" s="4">
        <v>18</v>
      </c>
      <c r="H14" s="4">
        <v>72</v>
      </c>
      <c r="I14" s="4">
        <v>36</v>
      </c>
      <c r="J14" s="4">
        <v>36</v>
      </c>
    </row>
    <row r="15" spans="1:10" x14ac:dyDescent="0.3">
      <c r="A15" t="s">
        <v>50</v>
      </c>
      <c r="B15" s="10">
        <v>45880</v>
      </c>
      <c r="C15" t="s">
        <v>33</v>
      </c>
      <c r="D15" t="s">
        <v>15</v>
      </c>
      <c r="E15" t="s">
        <v>40</v>
      </c>
      <c r="F15">
        <v>2</v>
      </c>
      <c r="G15" s="4">
        <v>32</v>
      </c>
      <c r="H15" s="4">
        <v>64</v>
      </c>
      <c r="I15" s="4">
        <v>36</v>
      </c>
      <c r="J15" s="4">
        <v>28</v>
      </c>
    </row>
    <row r="16" spans="1:10" x14ac:dyDescent="0.3">
      <c r="A16" t="s">
        <v>51</v>
      </c>
      <c r="B16" s="10">
        <v>45813</v>
      </c>
      <c r="C16" t="s">
        <v>33</v>
      </c>
      <c r="D16" t="s">
        <v>17</v>
      </c>
      <c r="E16" t="s">
        <v>30</v>
      </c>
      <c r="F16">
        <v>12</v>
      </c>
      <c r="G16" s="4">
        <v>38</v>
      </c>
      <c r="H16" s="4">
        <v>456</v>
      </c>
      <c r="I16" s="4">
        <v>252</v>
      </c>
      <c r="J16" s="4">
        <v>204</v>
      </c>
    </row>
    <row r="17" spans="1:10" x14ac:dyDescent="0.3">
      <c r="A17" t="s">
        <v>52</v>
      </c>
      <c r="B17" s="10">
        <v>45934</v>
      </c>
      <c r="C17" t="s">
        <v>36</v>
      </c>
      <c r="D17" t="s">
        <v>16</v>
      </c>
      <c r="E17" t="s">
        <v>47</v>
      </c>
      <c r="F17">
        <v>11</v>
      </c>
      <c r="G17" s="4">
        <v>8</v>
      </c>
      <c r="H17" s="4">
        <v>88</v>
      </c>
      <c r="I17" s="4">
        <v>44</v>
      </c>
      <c r="J17" s="4">
        <v>44</v>
      </c>
    </row>
    <row r="18" spans="1:10" x14ac:dyDescent="0.3">
      <c r="A18" t="s">
        <v>53</v>
      </c>
      <c r="B18" s="10">
        <v>45700</v>
      </c>
      <c r="C18" t="s">
        <v>33</v>
      </c>
      <c r="D18" t="s">
        <v>17</v>
      </c>
      <c r="E18" t="s">
        <v>30</v>
      </c>
      <c r="F18">
        <v>9</v>
      </c>
      <c r="G18" s="4">
        <v>38</v>
      </c>
      <c r="H18" s="4">
        <v>342</v>
      </c>
      <c r="I18" s="4">
        <v>189</v>
      </c>
      <c r="J18" s="4">
        <v>153</v>
      </c>
    </row>
    <row r="19" spans="1:10" x14ac:dyDescent="0.3">
      <c r="A19" t="s">
        <v>54</v>
      </c>
      <c r="B19" s="10">
        <v>45806</v>
      </c>
      <c r="C19" t="s">
        <v>26</v>
      </c>
      <c r="D19" t="s">
        <v>16</v>
      </c>
      <c r="E19" t="s">
        <v>47</v>
      </c>
      <c r="F19">
        <v>8</v>
      </c>
      <c r="G19" s="4">
        <v>8</v>
      </c>
      <c r="H19" s="4">
        <v>64</v>
      </c>
      <c r="I19" s="4">
        <v>32</v>
      </c>
      <c r="J19" s="4">
        <v>32</v>
      </c>
    </row>
    <row r="20" spans="1:10" x14ac:dyDescent="0.3">
      <c r="A20" t="s">
        <v>55</v>
      </c>
      <c r="B20" s="10">
        <v>45772</v>
      </c>
      <c r="C20" t="s">
        <v>26</v>
      </c>
      <c r="D20" t="s">
        <v>16</v>
      </c>
      <c r="E20" t="s">
        <v>47</v>
      </c>
      <c r="F20">
        <v>6</v>
      </c>
      <c r="G20" s="4">
        <v>8</v>
      </c>
      <c r="H20" s="4">
        <v>48</v>
      </c>
      <c r="I20" s="4">
        <v>24</v>
      </c>
      <c r="J20" s="4">
        <v>24</v>
      </c>
    </row>
    <row r="21" spans="1:10" x14ac:dyDescent="0.3">
      <c r="A21" t="s">
        <v>56</v>
      </c>
      <c r="B21" s="10">
        <v>45819</v>
      </c>
      <c r="C21" t="s">
        <v>26</v>
      </c>
      <c r="D21" t="s">
        <v>15</v>
      </c>
      <c r="E21" t="s">
        <v>40</v>
      </c>
      <c r="F21">
        <v>9</v>
      </c>
      <c r="G21" s="4">
        <v>32</v>
      </c>
      <c r="H21" s="4">
        <v>288</v>
      </c>
      <c r="I21" s="4">
        <v>162</v>
      </c>
      <c r="J21" s="4">
        <v>126</v>
      </c>
    </row>
    <row r="22" spans="1:10" x14ac:dyDescent="0.3">
      <c r="A22" t="s">
        <v>57</v>
      </c>
      <c r="B22" s="10">
        <v>45938</v>
      </c>
      <c r="C22" t="s">
        <v>29</v>
      </c>
      <c r="D22" t="s">
        <v>16</v>
      </c>
      <c r="E22" t="s">
        <v>27</v>
      </c>
      <c r="F22">
        <v>6</v>
      </c>
      <c r="G22" s="4">
        <v>12</v>
      </c>
      <c r="H22" s="4">
        <v>72</v>
      </c>
      <c r="I22" s="4">
        <v>30</v>
      </c>
      <c r="J22" s="4">
        <v>42</v>
      </c>
    </row>
    <row r="23" spans="1:10" x14ac:dyDescent="0.3">
      <c r="A23" t="s">
        <v>58</v>
      </c>
      <c r="B23" s="10">
        <v>45677</v>
      </c>
      <c r="C23" t="s">
        <v>29</v>
      </c>
      <c r="D23" t="s">
        <v>16</v>
      </c>
      <c r="E23" t="s">
        <v>27</v>
      </c>
      <c r="F23">
        <v>7</v>
      </c>
      <c r="G23" s="4">
        <v>12</v>
      </c>
      <c r="H23" s="4">
        <v>84</v>
      </c>
      <c r="I23" s="4">
        <v>35</v>
      </c>
      <c r="J23" s="4">
        <v>49</v>
      </c>
    </row>
    <row r="24" spans="1:10" x14ac:dyDescent="0.3">
      <c r="A24" t="s">
        <v>59</v>
      </c>
      <c r="B24" s="10">
        <v>45822</v>
      </c>
      <c r="C24" t="s">
        <v>29</v>
      </c>
      <c r="D24" t="s">
        <v>15</v>
      </c>
      <c r="E24" t="s">
        <v>40</v>
      </c>
      <c r="F24">
        <v>6</v>
      </c>
      <c r="G24" s="4">
        <v>32</v>
      </c>
      <c r="H24" s="4">
        <v>192</v>
      </c>
      <c r="I24" s="4">
        <v>108</v>
      </c>
      <c r="J24" s="4">
        <v>84</v>
      </c>
    </row>
    <row r="25" spans="1:10" x14ac:dyDescent="0.3">
      <c r="A25" t="s">
        <v>60</v>
      </c>
      <c r="B25" s="10">
        <v>45662</v>
      </c>
      <c r="C25" t="s">
        <v>26</v>
      </c>
      <c r="D25" t="s">
        <v>16</v>
      </c>
      <c r="E25" t="s">
        <v>47</v>
      </c>
      <c r="F25">
        <v>1</v>
      </c>
      <c r="G25" s="4">
        <v>8</v>
      </c>
      <c r="H25" s="4">
        <v>8</v>
      </c>
      <c r="I25" s="4">
        <v>4</v>
      </c>
      <c r="J25" s="4">
        <v>4</v>
      </c>
    </row>
    <row r="26" spans="1:10" x14ac:dyDescent="0.3">
      <c r="A26" t="s">
        <v>61</v>
      </c>
      <c r="B26" s="10">
        <v>45831</v>
      </c>
      <c r="C26" t="s">
        <v>26</v>
      </c>
      <c r="D26" t="s">
        <v>16</v>
      </c>
      <c r="E26" t="s">
        <v>34</v>
      </c>
      <c r="F26">
        <v>1</v>
      </c>
      <c r="G26" s="4">
        <v>20</v>
      </c>
      <c r="H26" s="4">
        <v>20</v>
      </c>
      <c r="I26" s="4">
        <v>9</v>
      </c>
      <c r="J26" s="4">
        <v>11</v>
      </c>
    </row>
    <row r="27" spans="1:10" x14ac:dyDescent="0.3">
      <c r="A27" t="s">
        <v>62</v>
      </c>
      <c r="B27" s="10">
        <v>45693</v>
      </c>
      <c r="C27" t="s">
        <v>26</v>
      </c>
      <c r="D27" t="s">
        <v>15</v>
      </c>
      <c r="E27" t="s">
        <v>37</v>
      </c>
      <c r="F27">
        <v>2</v>
      </c>
      <c r="G27" s="4">
        <v>45</v>
      </c>
      <c r="H27" s="4">
        <v>90</v>
      </c>
      <c r="I27" s="4">
        <v>54</v>
      </c>
      <c r="J27" s="4">
        <v>36</v>
      </c>
    </row>
    <row r="28" spans="1:10" x14ac:dyDescent="0.3">
      <c r="A28" t="s">
        <v>63</v>
      </c>
      <c r="B28" s="10">
        <v>45853</v>
      </c>
      <c r="C28" t="s">
        <v>33</v>
      </c>
      <c r="D28" t="s">
        <v>15</v>
      </c>
      <c r="E28" t="s">
        <v>43</v>
      </c>
      <c r="F28">
        <v>12</v>
      </c>
      <c r="G28" s="4">
        <v>18</v>
      </c>
      <c r="H28" s="4">
        <v>216</v>
      </c>
      <c r="I28" s="4">
        <v>108</v>
      </c>
      <c r="J28" s="4">
        <v>108</v>
      </c>
    </row>
    <row r="29" spans="1:10" x14ac:dyDescent="0.3">
      <c r="A29" t="s">
        <v>64</v>
      </c>
      <c r="B29" s="10">
        <v>45746</v>
      </c>
      <c r="C29" t="s">
        <v>36</v>
      </c>
      <c r="D29" t="s">
        <v>16</v>
      </c>
      <c r="E29" t="s">
        <v>47</v>
      </c>
      <c r="F29">
        <v>4</v>
      </c>
      <c r="G29" s="4">
        <v>8</v>
      </c>
      <c r="H29" s="4">
        <v>32</v>
      </c>
      <c r="I29" s="4">
        <v>16</v>
      </c>
      <c r="J29" s="4">
        <v>16</v>
      </c>
    </row>
    <row r="30" spans="1:10" x14ac:dyDescent="0.3">
      <c r="A30" t="s">
        <v>65</v>
      </c>
      <c r="B30" s="10">
        <v>45880</v>
      </c>
      <c r="C30" t="s">
        <v>26</v>
      </c>
      <c r="D30" t="s">
        <v>15</v>
      </c>
      <c r="E30" t="s">
        <v>37</v>
      </c>
      <c r="F30">
        <v>3</v>
      </c>
      <c r="G30" s="4">
        <v>45</v>
      </c>
      <c r="H30" s="4">
        <v>135</v>
      </c>
      <c r="I30" s="4">
        <v>81</v>
      </c>
      <c r="J30" s="4">
        <v>54</v>
      </c>
    </row>
    <row r="31" spans="1:10" x14ac:dyDescent="0.3">
      <c r="A31" t="s">
        <v>66</v>
      </c>
      <c r="B31" s="10">
        <v>45946</v>
      </c>
      <c r="C31" t="s">
        <v>26</v>
      </c>
      <c r="D31" t="s">
        <v>15</v>
      </c>
      <c r="E31" t="s">
        <v>37</v>
      </c>
      <c r="F31">
        <v>1</v>
      </c>
      <c r="G31" s="4">
        <v>45</v>
      </c>
      <c r="H31" s="4">
        <v>45</v>
      </c>
      <c r="I31" s="4">
        <v>27</v>
      </c>
      <c r="J31" s="4">
        <v>18</v>
      </c>
    </row>
    <row r="32" spans="1:10" x14ac:dyDescent="0.3">
      <c r="A32" t="s">
        <v>67</v>
      </c>
      <c r="B32" s="10">
        <v>45765</v>
      </c>
      <c r="C32" t="s">
        <v>33</v>
      </c>
      <c r="D32" t="s">
        <v>15</v>
      </c>
      <c r="E32" t="s">
        <v>37</v>
      </c>
      <c r="F32">
        <v>2</v>
      </c>
      <c r="G32" s="4">
        <v>45</v>
      </c>
      <c r="H32" s="4">
        <v>90</v>
      </c>
      <c r="I32" s="4">
        <v>54</v>
      </c>
      <c r="J32" s="4">
        <v>36</v>
      </c>
    </row>
    <row r="33" spans="1:10" x14ac:dyDescent="0.3">
      <c r="A33" t="s">
        <v>68</v>
      </c>
      <c r="B33" s="10">
        <v>45829</v>
      </c>
      <c r="C33" t="s">
        <v>33</v>
      </c>
      <c r="D33" t="s">
        <v>16</v>
      </c>
      <c r="E33" t="s">
        <v>34</v>
      </c>
      <c r="F33">
        <v>1</v>
      </c>
      <c r="G33" s="4">
        <v>20</v>
      </c>
      <c r="H33" s="4">
        <v>20</v>
      </c>
      <c r="I33" s="4">
        <v>9</v>
      </c>
      <c r="J33" s="4">
        <v>11</v>
      </c>
    </row>
    <row r="34" spans="1:10" x14ac:dyDescent="0.3">
      <c r="A34" t="s">
        <v>69</v>
      </c>
      <c r="B34" s="10">
        <v>45963</v>
      </c>
      <c r="C34" t="s">
        <v>33</v>
      </c>
      <c r="D34" t="s">
        <v>16</v>
      </c>
      <c r="E34" t="s">
        <v>34</v>
      </c>
      <c r="F34">
        <v>11</v>
      </c>
      <c r="G34" s="4">
        <v>20</v>
      </c>
      <c r="H34" s="4">
        <v>220</v>
      </c>
      <c r="I34" s="4">
        <v>99</v>
      </c>
      <c r="J34" s="4">
        <v>121</v>
      </c>
    </row>
    <row r="35" spans="1:10" x14ac:dyDescent="0.3">
      <c r="A35" t="s">
        <v>70</v>
      </c>
      <c r="B35" s="10">
        <v>45989</v>
      </c>
      <c r="C35" t="s">
        <v>33</v>
      </c>
      <c r="D35" t="s">
        <v>17</v>
      </c>
      <c r="E35" t="s">
        <v>30</v>
      </c>
      <c r="F35">
        <v>12</v>
      </c>
      <c r="G35" s="4">
        <v>38</v>
      </c>
      <c r="H35" s="4">
        <v>456</v>
      </c>
      <c r="I35" s="4">
        <v>252</v>
      </c>
      <c r="J35" s="4">
        <v>204</v>
      </c>
    </row>
    <row r="36" spans="1:10" x14ac:dyDescent="0.3">
      <c r="A36" t="s">
        <v>71</v>
      </c>
      <c r="B36" s="10">
        <v>45885</v>
      </c>
      <c r="C36" t="s">
        <v>36</v>
      </c>
      <c r="D36" t="s">
        <v>16</v>
      </c>
      <c r="E36" t="s">
        <v>34</v>
      </c>
      <c r="F36">
        <v>2</v>
      </c>
      <c r="G36" s="4">
        <v>20</v>
      </c>
      <c r="H36" s="4">
        <v>40</v>
      </c>
      <c r="I36" s="4">
        <v>18</v>
      </c>
      <c r="J36" s="4">
        <v>22</v>
      </c>
    </row>
    <row r="37" spans="1:10" x14ac:dyDescent="0.3">
      <c r="A37" t="s">
        <v>72</v>
      </c>
      <c r="B37" s="10">
        <v>45986</v>
      </c>
      <c r="C37" t="s">
        <v>36</v>
      </c>
      <c r="D37" t="s">
        <v>15</v>
      </c>
      <c r="E37" t="s">
        <v>40</v>
      </c>
      <c r="F37">
        <v>4</v>
      </c>
      <c r="G37" s="4">
        <v>32</v>
      </c>
      <c r="H37" s="4">
        <v>128</v>
      </c>
      <c r="I37" s="4">
        <v>72</v>
      </c>
      <c r="J37" s="4">
        <v>56</v>
      </c>
    </row>
    <row r="38" spans="1:10" x14ac:dyDescent="0.3">
      <c r="A38" t="s">
        <v>73</v>
      </c>
      <c r="B38" s="10">
        <v>45713</v>
      </c>
      <c r="C38" t="s">
        <v>33</v>
      </c>
      <c r="D38" t="s">
        <v>16</v>
      </c>
      <c r="E38" t="s">
        <v>47</v>
      </c>
      <c r="F38">
        <v>1</v>
      </c>
      <c r="G38" s="4">
        <v>8</v>
      </c>
      <c r="H38" s="4">
        <v>8</v>
      </c>
      <c r="I38" s="4">
        <v>4</v>
      </c>
      <c r="J38" s="4">
        <v>4</v>
      </c>
    </row>
    <row r="39" spans="1:10" x14ac:dyDescent="0.3">
      <c r="A39" t="s">
        <v>74</v>
      </c>
      <c r="B39" s="10">
        <v>45915</v>
      </c>
      <c r="C39" t="s">
        <v>26</v>
      </c>
      <c r="D39" t="s">
        <v>15</v>
      </c>
      <c r="E39" t="s">
        <v>37</v>
      </c>
      <c r="F39">
        <v>6</v>
      </c>
      <c r="G39" s="4">
        <v>45</v>
      </c>
      <c r="H39" s="4">
        <v>270</v>
      </c>
      <c r="I39" s="4">
        <v>162</v>
      </c>
      <c r="J39" s="4">
        <v>108</v>
      </c>
    </row>
    <row r="40" spans="1:10" x14ac:dyDescent="0.3">
      <c r="A40" t="s">
        <v>75</v>
      </c>
      <c r="B40" s="10">
        <v>45671</v>
      </c>
      <c r="C40" t="s">
        <v>36</v>
      </c>
      <c r="D40" t="s">
        <v>16</v>
      </c>
      <c r="E40" t="s">
        <v>27</v>
      </c>
      <c r="F40">
        <v>8</v>
      </c>
      <c r="G40" s="4">
        <v>12</v>
      </c>
      <c r="H40" s="4">
        <v>96</v>
      </c>
      <c r="I40" s="4">
        <v>40</v>
      </c>
      <c r="J40" s="4">
        <v>56</v>
      </c>
    </row>
    <row r="41" spans="1:10" x14ac:dyDescent="0.3">
      <c r="A41" t="s">
        <v>76</v>
      </c>
      <c r="B41" s="10">
        <v>45901</v>
      </c>
      <c r="C41" t="s">
        <v>29</v>
      </c>
      <c r="D41" t="s">
        <v>15</v>
      </c>
      <c r="E41" t="s">
        <v>37</v>
      </c>
      <c r="F41">
        <v>7</v>
      </c>
      <c r="G41" s="4">
        <v>45</v>
      </c>
      <c r="H41" s="4">
        <v>315</v>
      </c>
      <c r="I41" s="4">
        <v>189</v>
      </c>
      <c r="J41" s="4">
        <v>126</v>
      </c>
    </row>
    <row r="42" spans="1:10" x14ac:dyDescent="0.3">
      <c r="A42" t="s">
        <v>77</v>
      </c>
      <c r="B42" s="10">
        <v>45791</v>
      </c>
      <c r="C42" t="s">
        <v>29</v>
      </c>
      <c r="D42" t="s">
        <v>16</v>
      </c>
      <c r="E42" t="s">
        <v>27</v>
      </c>
      <c r="F42">
        <v>8</v>
      </c>
      <c r="G42" s="4">
        <v>12</v>
      </c>
      <c r="H42" s="4">
        <v>96</v>
      </c>
      <c r="I42" s="4">
        <v>40</v>
      </c>
      <c r="J42" s="4">
        <v>56</v>
      </c>
    </row>
    <row r="43" spans="1:10" x14ac:dyDescent="0.3">
      <c r="A43" t="s">
        <v>78</v>
      </c>
      <c r="B43" s="10">
        <v>45927</v>
      </c>
      <c r="C43" t="s">
        <v>36</v>
      </c>
      <c r="D43" t="s">
        <v>15</v>
      </c>
      <c r="E43" t="s">
        <v>40</v>
      </c>
      <c r="F43">
        <v>12</v>
      </c>
      <c r="G43" s="4">
        <v>32</v>
      </c>
      <c r="H43" s="4">
        <v>384</v>
      </c>
      <c r="I43" s="4">
        <v>216</v>
      </c>
      <c r="J43" s="4">
        <v>168</v>
      </c>
    </row>
    <row r="44" spans="1:10" x14ac:dyDescent="0.3">
      <c r="A44" t="s">
        <v>79</v>
      </c>
      <c r="B44" s="10">
        <v>45764</v>
      </c>
      <c r="C44" t="s">
        <v>26</v>
      </c>
      <c r="D44" t="s">
        <v>16</v>
      </c>
      <c r="E44" t="s">
        <v>47</v>
      </c>
      <c r="F44">
        <v>2</v>
      </c>
      <c r="G44" s="4">
        <v>8</v>
      </c>
      <c r="H44" s="4">
        <v>16</v>
      </c>
      <c r="I44" s="4">
        <v>8</v>
      </c>
      <c r="J44" s="4">
        <v>8</v>
      </c>
    </row>
    <row r="45" spans="1:10" x14ac:dyDescent="0.3">
      <c r="A45" t="s">
        <v>80</v>
      </c>
      <c r="B45" s="10">
        <v>45704</v>
      </c>
      <c r="C45" t="s">
        <v>33</v>
      </c>
      <c r="D45" t="s">
        <v>15</v>
      </c>
      <c r="E45" t="s">
        <v>43</v>
      </c>
      <c r="F45">
        <v>12</v>
      </c>
      <c r="G45" s="4">
        <v>18</v>
      </c>
      <c r="H45" s="4">
        <v>216</v>
      </c>
      <c r="I45" s="4">
        <v>108</v>
      </c>
      <c r="J45" s="4">
        <v>108</v>
      </c>
    </row>
    <row r="46" spans="1:10" x14ac:dyDescent="0.3">
      <c r="A46" t="s">
        <v>81</v>
      </c>
      <c r="B46" s="10">
        <v>45833</v>
      </c>
      <c r="C46" t="s">
        <v>36</v>
      </c>
      <c r="D46" t="s">
        <v>16</v>
      </c>
      <c r="E46" t="s">
        <v>27</v>
      </c>
      <c r="F46">
        <v>11</v>
      </c>
      <c r="G46" s="4">
        <v>12</v>
      </c>
      <c r="H46" s="4">
        <v>132</v>
      </c>
      <c r="I46" s="4">
        <v>55</v>
      </c>
      <c r="J46" s="4">
        <v>77</v>
      </c>
    </row>
    <row r="47" spans="1:10" x14ac:dyDescent="0.3">
      <c r="A47" t="s">
        <v>82</v>
      </c>
      <c r="B47" s="10">
        <v>45957</v>
      </c>
      <c r="C47" t="s">
        <v>36</v>
      </c>
      <c r="D47" t="s">
        <v>15</v>
      </c>
      <c r="E47" t="s">
        <v>40</v>
      </c>
      <c r="F47">
        <v>6</v>
      </c>
      <c r="G47" s="4">
        <v>32</v>
      </c>
      <c r="H47" s="4">
        <v>192</v>
      </c>
      <c r="I47" s="4">
        <v>108</v>
      </c>
      <c r="J47" s="4">
        <v>84</v>
      </c>
    </row>
    <row r="48" spans="1:10" x14ac:dyDescent="0.3">
      <c r="A48" t="s">
        <v>83</v>
      </c>
      <c r="B48" s="10">
        <v>45910</v>
      </c>
      <c r="C48" t="s">
        <v>26</v>
      </c>
      <c r="D48" t="s">
        <v>15</v>
      </c>
      <c r="E48" t="s">
        <v>43</v>
      </c>
      <c r="F48">
        <v>6</v>
      </c>
      <c r="G48" s="4">
        <v>18</v>
      </c>
      <c r="H48" s="4">
        <v>108</v>
      </c>
      <c r="I48" s="4">
        <v>54</v>
      </c>
      <c r="J48" s="4">
        <v>54</v>
      </c>
    </row>
    <row r="49" spans="1:10" x14ac:dyDescent="0.3">
      <c r="A49" t="s">
        <v>84</v>
      </c>
      <c r="B49" s="10">
        <v>45967</v>
      </c>
      <c r="C49" t="s">
        <v>36</v>
      </c>
      <c r="D49" t="s">
        <v>15</v>
      </c>
      <c r="E49" t="s">
        <v>43</v>
      </c>
      <c r="F49">
        <v>11</v>
      </c>
      <c r="G49" s="4">
        <v>18</v>
      </c>
      <c r="H49" s="4">
        <v>198</v>
      </c>
      <c r="I49" s="4">
        <v>99</v>
      </c>
      <c r="J49" s="4">
        <v>99</v>
      </c>
    </row>
    <row r="50" spans="1:10" x14ac:dyDescent="0.3">
      <c r="A50" t="s">
        <v>85</v>
      </c>
      <c r="B50" s="10">
        <v>45913</v>
      </c>
      <c r="C50" t="s">
        <v>36</v>
      </c>
      <c r="D50" t="s">
        <v>17</v>
      </c>
      <c r="E50" t="s">
        <v>45</v>
      </c>
      <c r="F50">
        <v>5</v>
      </c>
      <c r="G50" s="4">
        <v>120</v>
      </c>
      <c r="H50" s="4">
        <v>600</v>
      </c>
      <c r="I50" s="4">
        <v>410</v>
      </c>
      <c r="J50" s="4">
        <v>190</v>
      </c>
    </row>
    <row r="51" spans="1:10" x14ac:dyDescent="0.3">
      <c r="A51" t="s">
        <v>86</v>
      </c>
      <c r="B51" s="10">
        <v>45761</v>
      </c>
      <c r="C51" t="s">
        <v>26</v>
      </c>
      <c r="D51" t="s">
        <v>16</v>
      </c>
      <c r="E51" t="s">
        <v>27</v>
      </c>
      <c r="F51">
        <v>8</v>
      </c>
      <c r="G51" s="4">
        <v>12</v>
      </c>
      <c r="H51" s="4">
        <v>96</v>
      </c>
      <c r="I51" s="4">
        <v>40</v>
      </c>
      <c r="J51" s="4">
        <v>56</v>
      </c>
    </row>
    <row r="52" spans="1:10" x14ac:dyDescent="0.3">
      <c r="A52" t="s">
        <v>87</v>
      </c>
      <c r="B52" s="10">
        <v>45949</v>
      </c>
      <c r="C52" t="s">
        <v>29</v>
      </c>
      <c r="D52" t="s">
        <v>15</v>
      </c>
      <c r="E52" t="s">
        <v>40</v>
      </c>
      <c r="F52">
        <v>5</v>
      </c>
      <c r="G52" s="4">
        <v>32</v>
      </c>
      <c r="H52" s="4">
        <v>160</v>
      </c>
      <c r="I52" s="4">
        <v>90</v>
      </c>
      <c r="J52" s="4">
        <v>70</v>
      </c>
    </row>
    <row r="53" spans="1:10" x14ac:dyDescent="0.3">
      <c r="A53" t="s">
        <v>88</v>
      </c>
      <c r="B53" s="10">
        <v>45887</v>
      </c>
      <c r="C53" t="s">
        <v>36</v>
      </c>
      <c r="D53" t="s">
        <v>16</v>
      </c>
      <c r="E53" t="s">
        <v>47</v>
      </c>
      <c r="F53">
        <v>4</v>
      </c>
      <c r="G53" s="4">
        <v>8</v>
      </c>
      <c r="H53" s="4">
        <v>32</v>
      </c>
      <c r="I53" s="4">
        <v>16</v>
      </c>
      <c r="J53" s="4">
        <v>16</v>
      </c>
    </row>
    <row r="54" spans="1:10" x14ac:dyDescent="0.3">
      <c r="A54" t="s">
        <v>89</v>
      </c>
      <c r="B54" s="10">
        <v>45951</v>
      </c>
      <c r="C54" t="s">
        <v>36</v>
      </c>
      <c r="D54" t="s">
        <v>15</v>
      </c>
      <c r="E54" t="s">
        <v>40</v>
      </c>
      <c r="F54">
        <v>11</v>
      </c>
      <c r="G54" s="4">
        <v>32</v>
      </c>
      <c r="H54" s="4">
        <v>352</v>
      </c>
      <c r="I54" s="4">
        <v>198</v>
      </c>
      <c r="J54" s="4">
        <v>154</v>
      </c>
    </row>
    <row r="55" spans="1:10" x14ac:dyDescent="0.3">
      <c r="A55" t="s">
        <v>90</v>
      </c>
      <c r="B55" s="10">
        <v>46000</v>
      </c>
      <c r="C55" t="s">
        <v>26</v>
      </c>
      <c r="D55" t="s">
        <v>16</v>
      </c>
      <c r="E55" t="s">
        <v>47</v>
      </c>
      <c r="F55">
        <v>11</v>
      </c>
      <c r="G55" s="4">
        <v>8</v>
      </c>
      <c r="H55" s="4">
        <v>88</v>
      </c>
      <c r="I55" s="4">
        <v>44</v>
      </c>
      <c r="J55" s="4">
        <v>44</v>
      </c>
    </row>
    <row r="56" spans="1:10" x14ac:dyDescent="0.3">
      <c r="A56" t="s">
        <v>91</v>
      </c>
      <c r="B56" s="10">
        <v>45675</v>
      </c>
      <c r="C56" t="s">
        <v>26</v>
      </c>
      <c r="D56" t="s">
        <v>16</v>
      </c>
      <c r="E56" t="s">
        <v>34</v>
      </c>
      <c r="F56">
        <v>12</v>
      </c>
      <c r="G56" s="4">
        <v>20</v>
      </c>
      <c r="H56" s="4">
        <v>240</v>
      </c>
      <c r="I56" s="4">
        <v>108</v>
      </c>
      <c r="J56" s="4">
        <v>132</v>
      </c>
    </row>
    <row r="57" spans="1:10" x14ac:dyDescent="0.3">
      <c r="A57" t="s">
        <v>92</v>
      </c>
      <c r="B57" s="10">
        <v>45978</v>
      </c>
      <c r="C57" t="s">
        <v>26</v>
      </c>
      <c r="D57" t="s">
        <v>15</v>
      </c>
      <c r="E57" t="s">
        <v>40</v>
      </c>
      <c r="F57">
        <v>6</v>
      </c>
      <c r="G57" s="4">
        <v>32</v>
      </c>
      <c r="H57" s="4">
        <v>192</v>
      </c>
      <c r="I57" s="4">
        <v>108</v>
      </c>
      <c r="J57" s="4">
        <v>84</v>
      </c>
    </row>
    <row r="58" spans="1:10" x14ac:dyDescent="0.3">
      <c r="A58" t="s">
        <v>93</v>
      </c>
      <c r="B58" s="10">
        <v>45698</v>
      </c>
      <c r="C58" t="s">
        <v>33</v>
      </c>
      <c r="D58" t="s">
        <v>15</v>
      </c>
      <c r="E58" t="s">
        <v>40</v>
      </c>
      <c r="F58">
        <v>1</v>
      </c>
      <c r="G58" s="4">
        <v>32</v>
      </c>
      <c r="H58" s="4">
        <v>32</v>
      </c>
      <c r="I58" s="4">
        <v>18</v>
      </c>
      <c r="J58" s="4">
        <v>14</v>
      </c>
    </row>
    <row r="59" spans="1:10" x14ac:dyDescent="0.3">
      <c r="A59" t="s">
        <v>94</v>
      </c>
      <c r="B59" s="10">
        <v>45947</v>
      </c>
      <c r="C59" t="s">
        <v>33</v>
      </c>
      <c r="D59" t="s">
        <v>16</v>
      </c>
      <c r="E59" t="s">
        <v>47</v>
      </c>
      <c r="F59">
        <v>5</v>
      </c>
      <c r="G59" s="4">
        <v>8</v>
      </c>
      <c r="H59" s="4">
        <v>40</v>
      </c>
      <c r="I59" s="4">
        <v>20</v>
      </c>
      <c r="J59" s="4">
        <v>20</v>
      </c>
    </row>
    <row r="60" spans="1:10" x14ac:dyDescent="0.3">
      <c r="A60" t="s">
        <v>95</v>
      </c>
      <c r="B60" s="10">
        <v>45879</v>
      </c>
      <c r="C60" t="s">
        <v>26</v>
      </c>
      <c r="D60" t="s">
        <v>15</v>
      </c>
      <c r="E60" t="s">
        <v>37</v>
      </c>
      <c r="F60">
        <v>10</v>
      </c>
      <c r="G60" s="4">
        <v>45</v>
      </c>
      <c r="H60" s="4">
        <v>450</v>
      </c>
      <c r="I60" s="4">
        <v>270</v>
      </c>
      <c r="J60" s="4">
        <v>180</v>
      </c>
    </row>
    <row r="61" spans="1:10" x14ac:dyDescent="0.3">
      <c r="A61" t="s">
        <v>96</v>
      </c>
      <c r="B61" s="10">
        <v>45924</v>
      </c>
      <c r="C61" t="s">
        <v>29</v>
      </c>
      <c r="D61" t="s">
        <v>16</v>
      </c>
      <c r="E61" t="s">
        <v>27</v>
      </c>
      <c r="F61">
        <v>8</v>
      </c>
      <c r="G61" s="4">
        <v>12</v>
      </c>
      <c r="H61" s="4">
        <v>96</v>
      </c>
      <c r="I61" s="4">
        <v>40</v>
      </c>
      <c r="J61" s="4">
        <v>56</v>
      </c>
    </row>
    <row r="62" spans="1:10" x14ac:dyDescent="0.3">
      <c r="A62" t="s">
        <v>97</v>
      </c>
      <c r="B62" s="10">
        <v>45711</v>
      </c>
      <c r="C62" t="s">
        <v>29</v>
      </c>
      <c r="D62" t="s">
        <v>15</v>
      </c>
      <c r="E62" t="s">
        <v>37</v>
      </c>
      <c r="F62">
        <v>1</v>
      </c>
      <c r="G62" s="4">
        <v>45</v>
      </c>
      <c r="H62" s="4">
        <v>45</v>
      </c>
      <c r="I62" s="4">
        <v>27</v>
      </c>
      <c r="J62" s="4">
        <v>18</v>
      </c>
    </row>
    <row r="63" spans="1:10" x14ac:dyDescent="0.3">
      <c r="A63" t="s">
        <v>98</v>
      </c>
      <c r="B63" s="10">
        <v>45993</v>
      </c>
      <c r="C63" t="s">
        <v>36</v>
      </c>
      <c r="D63" t="s">
        <v>15</v>
      </c>
      <c r="E63" t="s">
        <v>43</v>
      </c>
      <c r="F63">
        <v>2</v>
      </c>
      <c r="G63" s="4">
        <v>18</v>
      </c>
      <c r="H63" s="4">
        <v>36</v>
      </c>
      <c r="I63" s="4">
        <v>18</v>
      </c>
      <c r="J63" s="4">
        <v>18</v>
      </c>
    </row>
    <row r="64" spans="1:10" x14ac:dyDescent="0.3">
      <c r="A64" t="s">
        <v>99</v>
      </c>
      <c r="B64" s="10">
        <v>45807</v>
      </c>
      <c r="C64" t="s">
        <v>29</v>
      </c>
      <c r="D64" t="s">
        <v>15</v>
      </c>
      <c r="E64" t="s">
        <v>43</v>
      </c>
      <c r="F64">
        <v>7</v>
      </c>
      <c r="G64" s="4">
        <v>18</v>
      </c>
      <c r="H64" s="4">
        <v>126</v>
      </c>
      <c r="I64" s="4">
        <v>63</v>
      </c>
      <c r="J64" s="4">
        <v>63</v>
      </c>
    </row>
    <row r="65" spans="1:10" x14ac:dyDescent="0.3">
      <c r="A65" t="s">
        <v>100</v>
      </c>
      <c r="B65" s="10">
        <v>45876</v>
      </c>
      <c r="C65" t="s">
        <v>29</v>
      </c>
      <c r="D65" t="s">
        <v>17</v>
      </c>
      <c r="E65" t="s">
        <v>45</v>
      </c>
      <c r="F65">
        <v>6</v>
      </c>
      <c r="G65" s="4">
        <v>120</v>
      </c>
      <c r="H65" s="4">
        <v>720</v>
      </c>
      <c r="I65" s="4">
        <v>492</v>
      </c>
      <c r="J65" s="4">
        <v>228</v>
      </c>
    </row>
    <row r="66" spans="1:10" x14ac:dyDescent="0.3">
      <c r="A66" t="s">
        <v>101</v>
      </c>
      <c r="B66" s="10">
        <v>45784</v>
      </c>
      <c r="C66" t="s">
        <v>29</v>
      </c>
      <c r="D66" t="s">
        <v>17</v>
      </c>
      <c r="E66" t="s">
        <v>45</v>
      </c>
      <c r="F66">
        <v>12</v>
      </c>
      <c r="G66" s="4">
        <v>120</v>
      </c>
      <c r="H66" s="4">
        <v>1440</v>
      </c>
      <c r="I66" s="4">
        <v>984</v>
      </c>
      <c r="J66" s="4">
        <v>456</v>
      </c>
    </row>
    <row r="67" spans="1:10" x14ac:dyDescent="0.3">
      <c r="A67" t="s">
        <v>102</v>
      </c>
      <c r="B67" s="10">
        <v>45684</v>
      </c>
      <c r="C67" t="s">
        <v>29</v>
      </c>
      <c r="D67" t="s">
        <v>16</v>
      </c>
      <c r="E67" t="s">
        <v>27</v>
      </c>
      <c r="F67">
        <v>4</v>
      </c>
      <c r="G67" s="4">
        <v>12</v>
      </c>
      <c r="H67" s="4">
        <v>48</v>
      </c>
      <c r="I67" s="4">
        <v>20</v>
      </c>
      <c r="J67" s="4">
        <v>28</v>
      </c>
    </row>
    <row r="68" spans="1:10" x14ac:dyDescent="0.3">
      <c r="A68" t="s">
        <v>103</v>
      </c>
      <c r="B68" s="10">
        <v>45683</v>
      </c>
      <c r="C68" t="s">
        <v>36</v>
      </c>
      <c r="D68" t="s">
        <v>17</v>
      </c>
      <c r="E68" t="s">
        <v>30</v>
      </c>
      <c r="F68">
        <v>7</v>
      </c>
      <c r="G68" s="4">
        <v>38</v>
      </c>
      <c r="H68" s="4">
        <v>266</v>
      </c>
      <c r="I68" s="4">
        <v>147</v>
      </c>
      <c r="J68" s="4">
        <v>119</v>
      </c>
    </row>
    <row r="69" spans="1:10" x14ac:dyDescent="0.3">
      <c r="A69" t="s">
        <v>104</v>
      </c>
      <c r="B69" s="10">
        <v>45849</v>
      </c>
      <c r="C69" t="s">
        <v>29</v>
      </c>
      <c r="D69" t="s">
        <v>17</v>
      </c>
      <c r="E69" t="s">
        <v>45</v>
      </c>
      <c r="F69">
        <v>11</v>
      </c>
      <c r="G69" s="4">
        <v>120</v>
      </c>
      <c r="H69" s="4">
        <v>1320</v>
      </c>
      <c r="I69" s="4">
        <v>902</v>
      </c>
      <c r="J69" s="4">
        <v>418</v>
      </c>
    </row>
    <row r="70" spans="1:10" x14ac:dyDescent="0.3">
      <c r="A70" t="s">
        <v>105</v>
      </c>
      <c r="B70" s="10">
        <v>45905</v>
      </c>
      <c r="C70" t="s">
        <v>36</v>
      </c>
      <c r="D70" t="s">
        <v>15</v>
      </c>
      <c r="E70" t="s">
        <v>37</v>
      </c>
      <c r="F70">
        <v>5</v>
      </c>
      <c r="G70" s="4">
        <v>45</v>
      </c>
      <c r="H70" s="4">
        <v>225</v>
      </c>
      <c r="I70" s="4">
        <v>135</v>
      </c>
      <c r="J70" s="4">
        <v>90</v>
      </c>
    </row>
    <row r="71" spans="1:10" x14ac:dyDescent="0.3">
      <c r="A71" t="s">
        <v>106</v>
      </c>
      <c r="B71" s="10">
        <v>45724</v>
      </c>
      <c r="C71" t="s">
        <v>29</v>
      </c>
      <c r="D71" t="s">
        <v>16</v>
      </c>
      <c r="E71" t="s">
        <v>47</v>
      </c>
      <c r="F71">
        <v>9</v>
      </c>
      <c r="G71" s="4">
        <v>8</v>
      </c>
      <c r="H71" s="4">
        <v>72</v>
      </c>
      <c r="I71" s="4">
        <v>36</v>
      </c>
      <c r="J71" s="4">
        <v>36</v>
      </c>
    </row>
    <row r="72" spans="1:10" x14ac:dyDescent="0.3">
      <c r="A72" t="s">
        <v>107</v>
      </c>
      <c r="B72" s="10">
        <v>45719</v>
      </c>
      <c r="C72" t="s">
        <v>26</v>
      </c>
      <c r="D72" t="s">
        <v>16</v>
      </c>
      <c r="E72" t="s">
        <v>47</v>
      </c>
      <c r="F72">
        <v>7</v>
      </c>
      <c r="G72" s="4">
        <v>8</v>
      </c>
      <c r="H72" s="4">
        <v>56</v>
      </c>
      <c r="I72" s="4">
        <v>28</v>
      </c>
      <c r="J72" s="4">
        <v>28</v>
      </c>
    </row>
    <row r="73" spans="1:10" x14ac:dyDescent="0.3">
      <c r="A73" t="s">
        <v>108</v>
      </c>
      <c r="B73" s="10">
        <v>45908</v>
      </c>
      <c r="C73" t="s">
        <v>26</v>
      </c>
      <c r="D73" t="s">
        <v>17</v>
      </c>
      <c r="E73" t="s">
        <v>30</v>
      </c>
      <c r="F73">
        <v>12</v>
      </c>
      <c r="G73" s="4">
        <v>38</v>
      </c>
      <c r="H73" s="4">
        <v>456</v>
      </c>
      <c r="I73" s="4">
        <v>252</v>
      </c>
      <c r="J73" s="4">
        <v>204</v>
      </c>
    </row>
    <row r="74" spans="1:10" x14ac:dyDescent="0.3">
      <c r="A74" t="s">
        <v>109</v>
      </c>
      <c r="B74" s="10">
        <v>45938</v>
      </c>
      <c r="C74" t="s">
        <v>26</v>
      </c>
      <c r="D74" t="s">
        <v>16</v>
      </c>
      <c r="E74" t="s">
        <v>34</v>
      </c>
      <c r="F74">
        <v>8</v>
      </c>
      <c r="G74" s="4">
        <v>20</v>
      </c>
      <c r="H74" s="4">
        <v>160</v>
      </c>
      <c r="I74" s="4">
        <v>72</v>
      </c>
      <c r="J74" s="4">
        <v>88</v>
      </c>
    </row>
    <row r="75" spans="1:10" x14ac:dyDescent="0.3">
      <c r="A75" t="s">
        <v>110</v>
      </c>
      <c r="B75" s="10">
        <v>45821</v>
      </c>
      <c r="C75" t="s">
        <v>36</v>
      </c>
      <c r="D75" t="s">
        <v>17</v>
      </c>
      <c r="E75" t="s">
        <v>30</v>
      </c>
      <c r="F75">
        <v>6</v>
      </c>
      <c r="G75" s="4">
        <v>38</v>
      </c>
      <c r="H75" s="4">
        <v>228</v>
      </c>
      <c r="I75" s="4">
        <v>126</v>
      </c>
      <c r="J75" s="4">
        <v>102</v>
      </c>
    </row>
    <row r="76" spans="1:10" x14ac:dyDescent="0.3">
      <c r="A76" t="s">
        <v>111</v>
      </c>
      <c r="B76" s="10">
        <v>45970</v>
      </c>
      <c r="C76" t="s">
        <v>26</v>
      </c>
      <c r="D76" t="s">
        <v>15</v>
      </c>
      <c r="E76" t="s">
        <v>43</v>
      </c>
      <c r="F76">
        <v>11</v>
      </c>
      <c r="G76" s="4">
        <v>18</v>
      </c>
      <c r="H76" s="4">
        <v>198</v>
      </c>
      <c r="I76" s="4">
        <v>99</v>
      </c>
      <c r="J76" s="4">
        <v>99</v>
      </c>
    </row>
    <row r="77" spans="1:10" x14ac:dyDescent="0.3">
      <c r="A77" t="s">
        <v>112</v>
      </c>
      <c r="B77" s="10">
        <v>45800</v>
      </c>
      <c r="C77" t="s">
        <v>29</v>
      </c>
      <c r="D77" t="s">
        <v>15</v>
      </c>
      <c r="E77" t="s">
        <v>40</v>
      </c>
      <c r="F77">
        <v>8</v>
      </c>
      <c r="G77" s="4">
        <v>32</v>
      </c>
      <c r="H77" s="4">
        <v>256</v>
      </c>
      <c r="I77" s="4">
        <v>144</v>
      </c>
      <c r="J77" s="4">
        <v>112</v>
      </c>
    </row>
    <row r="78" spans="1:10" x14ac:dyDescent="0.3">
      <c r="A78" t="s">
        <v>113</v>
      </c>
      <c r="B78" s="10">
        <v>45959</v>
      </c>
      <c r="C78" t="s">
        <v>29</v>
      </c>
      <c r="D78" t="s">
        <v>15</v>
      </c>
      <c r="E78" t="s">
        <v>43</v>
      </c>
      <c r="F78">
        <v>10</v>
      </c>
      <c r="G78" s="4">
        <v>18</v>
      </c>
      <c r="H78" s="4">
        <v>180</v>
      </c>
      <c r="I78" s="4">
        <v>90</v>
      </c>
      <c r="J78" s="4">
        <v>90</v>
      </c>
    </row>
    <row r="79" spans="1:10" x14ac:dyDescent="0.3">
      <c r="A79" t="s">
        <v>114</v>
      </c>
      <c r="B79" s="10">
        <v>45981</v>
      </c>
      <c r="C79" t="s">
        <v>26</v>
      </c>
      <c r="D79" t="s">
        <v>17</v>
      </c>
      <c r="E79" t="s">
        <v>30</v>
      </c>
      <c r="F79">
        <v>9</v>
      </c>
      <c r="G79" s="4">
        <v>38</v>
      </c>
      <c r="H79" s="4">
        <v>342</v>
      </c>
      <c r="I79" s="4">
        <v>189</v>
      </c>
      <c r="J79" s="4">
        <v>153</v>
      </c>
    </row>
    <row r="80" spans="1:10" x14ac:dyDescent="0.3">
      <c r="A80" t="s">
        <v>115</v>
      </c>
      <c r="B80" s="10">
        <v>45741</v>
      </c>
      <c r="C80" t="s">
        <v>36</v>
      </c>
      <c r="D80" t="s">
        <v>15</v>
      </c>
      <c r="E80" t="s">
        <v>37</v>
      </c>
      <c r="F80">
        <v>3</v>
      </c>
      <c r="G80" s="4">
        <v>45</v>
      </c>
      <c r="H80" s="4">
        <v>135</v>
      </c>
      <c r="I80" s="4">
        <v>81</v>
      </c>
      <c r="J80" s="4">
        <v>54</v>
      </c>
    </row>
    <row r="81" spans="1:10" x14ac:dyDescent="0.3">
      <c r="A81" t="s">
        <v>116</v>
      </c>
      <c r="B81" s="10">
        <v>45757</v>
      </c>
      <c r="C81" t="s">
        <v>36</v>
      </c>
      <c r="D81" t="s">
        <v>15</v>
      </c>
      <c r="E81" t="s">
        <v>37</v>
      </c>
      <c r="F81">
        <v>3</v>
      </c>
      <c r="G81" s="4">
        <v>45</v>
      </c>
      <c r="H81" s="4">
        <v>135</v>
      </c>
      <c r="I81" s="4">
        <v>81</v>
      </c>
      <c r="J81" s="4">
        <v>54</v>
      </c>
    </row>
    <row r="82" spans="1:10" x14ac:dyDescent="0.3">
      <c r="A82" t="s">
        <v>117</v>
      </c>
      <c r="B82" s="10">
        <v>45995</v>
      </c>
      <c r="C82" t="s">
        <v>26</v>
      </c>
      <c r="D82" t="s">
        <v>17</v>
      </c>
      <c r="E82" t="s">
        <v>30</v>
      </c>
      <c r="F82">
        <v>5</v>
      </c>
      <c r="G82" s="4">
        <v>38</v>
      </c>
      <c r="H82" s="4">
        <v>190</v>
      </c>
      <c r="I82" s="4">
        <v>105</v>
      </c>
      <c r="J82" s="4">
        <v>85</v>
      </c>
    </row>
    <row r="83" spans="1:10" x14ac:dyDescent="0.3">
      <c r="A83" t="s">
        <v>118</v>
      </c>
      <c r="B83" s="10">
        <v>45977</v>
      </c>
      <c r="C83" t="s">
        <v>33</v>
      </c>
      <c r="D83" t="s">
        <v>16</v>
      </c>
      <c r="E83" t="s">
        <v>27</v>
      </c>
      <c r="F83">
        <v>10</v>
      </c>
      <c r="G83" s="4">
        <v>12</v>
      </c>
      <c r="H83" s="4">
        <v>120</v>
      </c>
      <c r="I83" s="4">
        <v>50</v>
      </c>
      <c r="J83" s="4">
        <v>70</v>
      </c>
    </row>
    <row r="84" spans="1:10" x14ac:dyDescent="0.3">
      <c r="A84" t="s">
        <v>119</v>
      </c>
      <c r="B84" s="10">
        <v>45760</v>
      </c>
      <c r="C84" t="s">
        <v>26</v>
      </c>
      <c r="D84" t="s">
        <v>15</v>
      </c>
      <c r="E84" t="s">
        <v>43</v>
      </c>
      <c r="F84">
        <v>3</v>
      </c>
      <c r="G84" s="4">
        <v>18</v>
      </c>
      <c r="H84" s="4">
        <v>54</v>
      </c>
      <c r="I84" s="4">
        <v>27</v>
      </c>
      <c r="J84" s="4">
        <v>27</v>
      </c>
    </row>
    <row r="85" spans="1:10" x14ac:dyDescent="0.3">
      <c r="A85" t="s">
        <v>120</v>
      </c>
      <c r="B85" s="10">
        <v>45894</v>
      </c>
      <c r="C85" t="s">
        <v>36</v>
      </c>
      <c r="D85" t="s">
        <v>16</v>
      </c>
      <c r="E85" t="s">
        <v>27</v>
      </c>
      <c r="F85">
        <v>12</v>
      </c>
      <c r="G85" s="4">
        <v>12</v>
      </c>
      <c r="H85" s="4">
        <v>144</v>
      </c>
      <c r="I85" s="4">
        <v>60</v>
      </c>
      <c r="J85" s="4">
        <v>84</v>
      </c>
    </row>
    <row r="86" spans="1:10" x14ac:dyDescent="0.3">
      <c r="A86" t="s">
        <v>121</v>
      </c>
      <c r="B86" s="10">
        <v>46018</v>
      </c>
      <c r="C86" t="s">
        <v>29</v>
      </c>
      <c r="D86" t="s">
        <v>15</v>
      </c>
      <c r="E86" t="s">
        <v>43</v>
      </c>
      <c r="F86">
        <v>7</v>
      </c>
      <c r="G86" s="4">
        <v>18</v>
      </c>
      <c r="H86" s="4">
        <v>126</v>
      </c>
      <c r="I86" s="4">
        <v>63</v>
      </c>
      <c r="J86" s="4">
        <v>63</v>
      </c>
    </row>
    <row r="87" spans="1:10" x14ac:dyDescent="0.3">
      <c r="A87" t="s">
        <v>122</v>
      </c>
      <c r="B87" s="10">
        <v>45923</v>
      </c>
      <c r="C87" t="s">
        <v>36</v>
      </c>
      <c r="D87" t="s">
        <v>17</v>
      </c>
      <c r="E87" t="s">
        <v>30</v>
      </c>
      <c r="F87">
        <v>8</v>
      </c>
      <c r="G87" s="4">
        <v>38</v>
      </c>
      <c r="H87" s="4">
        <v>304</v>
      </c>
      <c r="I87" s="4">
        <v>168</v>
      </c>
      <c r="J87" s="4">
        <v>136</v>
      </c>
    </row>
    <row r="88" spans="1:10" x14ac:dyDescent="0.3">
      <c r="A88" t="s">
        <v>123</v>
      </c>
      <c r="B88" s="10">
        <v>45967</v>
      </c>
      <c r="C88" t="s">
        <v>26</v>
      </c>
      <c r="D88" t="s">
        <v>16</v>
      </c>
      <c r="E88" t="s">
        <v>27</v>
      </c>
      <c r="F88">
        <v>9</v>
      </c>
      <c r="G88" s="4">
        <v>12</v>
      </c>
      <c r="H88" s="4">
        <v>108</v>
      </c>
      <c r="I88" s="4">
        <v>45</v>
      </c>
      <c r="J88" s="4">
        <v>63</v>
      </c>
    </row>
    <row r="89" spans="1:10" x14ac:dyDescent="0.3">
      <c r="A89" t="s">
        <v>124</v>
      </c>
      <c r="B89" s="10">
        <v>45761</v>
      </c>
      <c r="C89" t="s">
        <v>33</v>
      </c>
      <c r="D89" t="s">
        <v>15</v>
      </c>
      <c r="E89" t="s">
        <v>40</v>
      </c>
      <c r="F89">
        <v>4</v>
      </c>
      <c r="G89" s="4">
        <v>32</v>
      </c>
      <c r="H89" s="4">
        <v>128</v>
      </c>
      <c r="I89" s="4">
        <v>72</v>
      </c>
      <c r="J89" s="4">
        <v>56</v>
      </c>
    </row>
    <row r="90" spans="1:10" x14ac:dyDescent="0.3">
      <c r="A90" t="s">
        <v>125</v>
      </c>
      <c r="B90" s="10">
        <v>45950</v>
      </c>
      <c r="C90" t="s">
        <v>29</v>
      </c>
      <c r="D90" t="s">
        <v>17</v>
      </c>
      <c r="E90" t="s">
        <v>45</v>
      </c>
      <c r="F90">
        <v>11</v>
      </c>
      <c r="G90" s="4">
        <v>120</v>
      </c>
      <c r="H90" s="4">
        <v>1320</v>
      </c>
      <c r="I90" s="4">
        <v>902</v>
      </c>
      <c r="J90" s="4">
        <v>418</v>
      </c>
    </row>
    <row r="91" spans="1:10" x14ac:dyDescent="0.3">
      <c r="A91" t="s">
        <v>126</v>
      </c>
      <c r="B91" s="10">
        <v>45883</v>
      </c>
      <c r="C91" t="s">
        <v>26</v>
      </c>
      <c r="D91" t="s">
        <v>15</v>
      </c>
      <c r="E91" t="s">
        <v>40</v>
      </c>
      <c r="F91">
        <v>11</v>
      </c>
      <c r="G91" s="4">
        <v>32</v>
      </c>
      <c r="H91" s="4">
        <v>352</v>
      </c>
      <c r="I91" s="4">
        <v>198</v>
      </c>
      <c r="J91" s="4">
        <v>154</v>
      </c>
    </row>
    <row r="92" spans="1:10" x14ac:dyDescent="0.3">
      <c r="A92" t="s">
        <v>127</v>
      </c>
      <c r="B92" s="10">
        <v>45695</v>
      </c>
      <c r="C92" t="s">
        <v>33</v>
      </c>
      <c r="D92" t="s">
        <v>16</v>
      </c>
      <c r="E92" t="s">
        <v>47</v>
      </c>
      <c r="F92">
        <v>9</v>
      </c>
      <c r="G92" s="4">
        <v>8</v>
      </c>
      <c r="H92" s="4">
        <v>72</v>
      </c>
      <c r="I92" s="4">
        <v>36</v>
      </c>
      <c r="J92" s="4">
        <v>36</v>
      </c>
    </row>
    <row r="93" spans="1:10" x14ac:dyDescent="0.3">
      <c r="A93" t="s">
        <v>128</v>
      </c>
      <c r="B93" s="10">
        <v>45881</v>
      </c>
      <c r="C93" t="s">
        <v>29</v>
      </c>
      <c r="D93" t="s">
        <v>15</v>
      </c>
      <c r="E93" t="s">
        <v>40</v>
      </c>
      <c r="F93">
        <v>8</v>
      </c>
      <c r="G93" s="4">
        <v>32</v>
      </c>
      <c r="H93" s="4">
        <v>256</v>
      </c>
      <c r="I93" s="4">
        <v>144</v>
      </c>
      <c r="J93" s="4">
        <v>112</v>
      </c>
    </row>
    <row r="94" spans="1:10" x14ac:dyDescent="0.3">
      <c r="A94" t="s">
        <v>129</v>
      </c>
      <c r="B94" s="10">
        <v>45902</v>
      </c>
      <c r="C94" t="s">
        <v>36</v>
      </c>
      <c r="D94" t="s">
        <v>16</v>
      </c>
      <c r="E94" t="s">
        <v>34</v>
      </c>
      <c r="F94">
        <v>10</v>
      </c>
      <c r="G94" s="4">
        <v>20</v>
      </c>
      <c r="H94" s="4">
        <v>200</v>
      </c>
      <c r="I94" s="4">
        <v>90</v>
      </c>
      <c r="J94" s="4">
        <v>110</v>
      </c>
    </row>
    <row r="95" spans="1:10" x14ac:dyDescent="0.3">
      <c r="A95" t="s">
        <v>130</v>
      </c>
      <c r="B95" s="10">
        <v>45841</v>
      </c>
      <c r="C95" t="s">
        <v>33</v>
      </c>
      <c r="D95" t="s">
        <v>15</v>
      </c>
      <c r="E95" t="s">
        <v>43</v>
      </c>
      <c r="F95">
        <v>9</v>
      </c>
      <c r="G95" s="4">
        <v>18</v>
      </c>
      <c r="H95" s="4">
        <v>162</v>
      </c>
      <c r="I95" s="4">
        <v>81</v>
      </c>
      <c r="J95" s="4">
        <v>81</v>
      </c>
    </row>
    <row r="96" spans="1:10" x14ac:dyDescent="0.3">
      <c r="A96" t="s">
        <v>131</v>
      </c>
      <c r="B96" s="10">
        <v>45996</v>
      </c>
      <c r="C96" t="s">
        <v>29</v>
      </c>
      <c r="D96" t="s">
        <v>16</v>
      </c>
      <c r="E96" t="s">
        <v>27</v>
      </c>
      <c r="F96">
        <v>7</v>
      </c>
      <c r="G96" s="4">
        <v>12</v>
      </c>
      <c r="H96" s="4">
        <v>84</v>
      </c>
      <c r="I96" s="4">
        <v>35</v>
      </c>
      <c r="J96" s="4">
        <v>49</v>
      </c>
    </row>
    <row r="97" spans="1:10" x14ac:dyDescent="0.3">
      <c r="A97" t="s">
        <v>132</v>
      </c>
      <c r="B97" s="10">
        <v>45752</v>
      </c>
      <c r="C97" t="s">
        <v>36</v>
      </c>
      <c r="D97" t="s">
        <v>17</v>
      </c>
      <c r="E97" t="s">
        <v>30</v>
      </c>
      <c r="F97">
        <v>12</v>
      </c>
      <c r="G97" s="4">
        <v>38</v>
      </c>
      <c r="H97" s="4">
        <v>456</v>
      </c>
      <c r="I97" s="4">
        <v>252</v>
      </c>
      <c r="J97" s="4">
        <v>204</v>
      </c>
    </row>
    <row r="98" spans="1:10" x14ac:dyDescent="0.3">
      <c r="A98" t="s">
        <v>133</v>
      </c>
      <c r="B98" s="10">
        <v>46004</v>
      </c>
      <c r="C98" t="s">
        <v>26</v>
      </c>
      <c r="D98" t="s">
        <v>15</v>
      </c>
      <c r="E98" t="s">
        <v>43</v>
      </c>
      <c r="F98">
        <v>6</v>
      </c>
      <c r="G98" s="4">
        <v>18</v>
      </c>
      <c r="H98" s="4">
        <v>108</v>
      </c>
      <c r="I98" s="4">
        <v>54</v>
      </c>
      <c r="J98" s="4">
        <v>54</v>
      </c>
    </row>
    <row r="99" spans="1:10" x14ac:dyDescent="0.3">
      <c r="A99" t="s">
        <v>134</v>
      </c>
      <c r="B99" s="10">
        <v>45990</v>
      </c>
      <c r="C99" t="s">
        <v>33</v>
      </c>
      <c r="D99" t="s">
        <v>17</v>
      </c>
      <c r="E99" t="s">
        <v>30</v>
      </c>
      <c r="F99">
        <v>10</v>
      </c>
      <c r="G99" s="4">
        <v>38</v>
      </c>
      <c r="H99" s="4">
        <v>380</v>
      </c>
      <c r="I99" s="4">
        <v>210</v>
      </c>
      <c r="J99" s="4">
        <v>170</v>
      </c>
    </row>
    <row r="100" spans="1:10" x14ac:dyDescent="0.3">
      <c r="A100" t="s">
        <v>135</v>
      </c>
      <c r="B100" s="10">
        <v>45975</v>
      </c>
      <c r="C100" t="s">
        <v>26</v>
      </c>
      <c r="D100" t="s">
        <v>16</v>
      </c>
      <c r="E100" t="s">
        <v>47</v>
      </c>
      <c r="F100">
        <v>4</v>
      </c>
      <c r="G100" s="4">
        <v>8</v>
      </c>
      <c r="H100" s="4">
        <v>32</v>
      </c>
      <c r="I100" s="4">
        <v>16</v>
      </c>
      <c r="J100" s="4">
        <v>16</v>
      </c>
    </row>
    <row r="101" spans="1:10" x14ac:dyDescent="0.3">
      <c r="A101" t="s">
        <v>136</v>
      </c>
      <c r="B101" s="10">
        <v>45840</v>
      </c>
      <c r="C101" t="s">
        <v>29</v>
      </c>
      <c r="D101" t="s">
        <v>15</v>
      </c>
      <c r="E101" t="s">
        <v>37</v>
      </c>
      <c r="F101">
        <v>1</v>
      </c>
      <c r="G101" s="4">
        <v>45</v>
      </c>
      <c r="H101" s="4">
        <v>45</v>
      </c>
      <c r="I101" s="4">
        <v>27</v>
      </c>
      <c r="J101" s="4">
        <v>18</v>
      </c>
    </row>
    <row r="102" spans="1:10" x14ac:dyDescent="0.3">
      <c r="A102" t="s">
        <v>137</v>
      </c>
      <c r="B102" s="10">
        <v>46019</v>
      </c>
      <c r="C102" t="s">
        <v>33</v>
      </c>
      <c r="D102" t="s">
        <v>15</v>
      </c>
      <c r="E102" t="s">
        <v>40</v>
      </c>
      <c r="F102">
        <v>10</v>
      </c>
      <c r="G102" s="4">
        <v>32</v>
      </c>
      <c r="H102" s="4">
        <v>320</v>
      </c>
      <c r="I102" s="4">
        <v>180</v>
      </c>
      <c r="J102" s="4">
        <v>140</v>
      </c>
    </row>
    <row r="103" spans="1:10" x14ac:dyDescent="0.3">
      <c r="A103" t="s">
        <v>138</v>
      </c>
      <c r="B103" s="10">
        <v>45807</v>
      </c>
      <c r="C103" t="s">
        <v>26</v>
      </c>
      <c r="D103" t="s">
        <v>16</v>
      </c>
      <c r="E103" t="s">
        <v>27</v>
      </c>
      <c r="F103">
        <v>7</v>
      </c>
      <c r="G103" s="4">
        <v>12</v>
      </c>
      <c r="H103" s="4">
        <v>84</v>
      </c>
      <c r="I103" s="4">
        <v>35</v>
      </c>
      <c r="J103" s="4">
        <v>49</v>
      </c>
    </row>
    <row r="104" spans="1:10" x14ac:dyDescent="0.3">
      <c r="A104" t="s">
        <v>139</v>
      </c>
      <c r="B104" s="10">
        <v>45704</v>
      </c>
      <c r="C104" t="s">
        <v>36</v>
      </c>
      <c r="D104" t="s">
        <v>16</v>
      </c>
      <c r="E104" t="s">
        <v>27</v>
      </c>
      <c r="F104">
        <v>5</v>
      </c>
      <c r="G104" s="4">
        <v>12</v>
      </c>
      <c r="H104" s="4">
        <v>60</v>
      </c>
      <c r="I104" s="4">
        <v>25</v>
      </c>
      <c r="J104" s="4">
        <v>35</v>
      </c>
    </row>
    <row r="105" spans="1:10" x14ac:dyDescent="0.3">
      <c r="A105" t="s">
        <v>140</v>
      </c>
      <c r="B105" s="10">
        <v>45929</v>
      </c>
      <c r="C105" t="s">
        <v>33</v>
      </c>
      <c r="D105" t="s">
        <v>16</v>
      </c>
      <c r="E105" t="s">
        <v>34</v>
      </c>
      <c r="F105">
        <v>10</v>
      </c>
      <c r="G105" s="4">
        <v>20</v>
      </c>
      <c r="H105" s="4">
        <v>200</v>
      </c>
      <c r="I105" s="4">
        <v>90</v>
      </c>
      <c r="J105" s="4">
        <v>110</v>
      </c>
    </row>
    <row r="106" spans="1:10" x14ac:dyDescent="0.3">
      <c r="A106" t="s">
        <v>141</v>
      </c>
      <c r="B106" s="10">
        <v>45752</v>
      </c>
      <c r="C106" t="s">
        <v>33</v>
      </c>
      <c r="D106" t="s">
        <v>16</v>
      </c>
      <c r="E106" t="s">
        <v>27</v>
      </c>
      <c r="F106">
        <v>7</v>
      </c>
      <c r="G106" s="4">
        <v>12</v>
      </c>
      <c r="H106" s="4">
        <v>84</v>
      </c>
      <c r="I106" s="4">
        <v>35</v>
      </c>
      <c r="J106" s="4">
        <v>49</v>
      </c>
    </row>
    <row r="107" spans="1:10" x14ac:dyDescent="0.3">
      <c r="A107" t="s">
        <v>142</v>
      </c>
      <c r="B107" s="10">
        <v>45672</v>
      </c>
      <c r="C107" t="s">
        <v>26</v>
      </c>
      <c r="D107" t="s">
        <v>16</v>
      </c>
      <c r="E107" t="s">
        <v>27</v>
      </c>
      <c r="F107">
        <v>12</v>
      </c>
      <c r="G107" s="4">
        <v>12</v>
      </c>
      <c r="H107" s="4">
        <v>144</v>
      </c>
      <c r="I107" s="4">
        <v>60</v>
      </c>
      <c r="J107" s="4">
        <v>84</v>
      </c>
    </row>
    <row r="108" spans="1:10" x14ac:dyDescent="0.3">
      <c r="A108" t="s">
        <v>143</v>
      </c>
      <c r="B108" s="10">
        <v>45868</v>
      </c>
      <c r="C108" t="s">
        <v>29</v>
      </c>
      <c r="D108" t="s">
        <v>15</v>
      </c>
      <c r="E108" t="s">
        <v>43</v>
      </c>
      <c r="F108">
        <v>1</v>
      </c>
      <c r="G108" s="4">
        <v>18</v>
      </c>
      <c r="H108" s="4">
        <v>18</v>
      </c>
      <c r="I108" s="4">
        <v>9</v>
      </c>
      <c r="J108" s="4">
        <v>9</v>
      </c>
    </row>
    <row r="109" spans="1:10" x14ac:dyDescent="0.3">
      <c r="A109" t="s">
        <v>144</v>
      </c>
      <c r="B109" s="10">
        <v>45712</v>
      </c>
      <c r="C109" t="s">
        <v>33</v>
      </c>
      <c r="D109" t="s">
        <v>16</v>
      </c>
      <c r="E109" t="s">
        <v>27</v>
      </c>
      <c r="F109">
        <v>10</v>
      </c>
      <c r="G109" s="4">
        <v>12</v>
      </c>
      <c r="H109" s="4">
        <v>120</v>
      </c>
      <c r="I109" s="4">
        <v>50</v>
      </c>
      <c r="J109" s="4">
        <v>70</v>
      </c>
    </row>
    <row r="110" spans="1:10" x14ac:dyDescent="0.3">
      <c r="A110" t="s">
        <v>145</v>
      </c>
      <c r="B110" s="10">
        <v>45860</v>
      </c>
      <c r="C110" t="s">
        <v>29</v>
      </c>
      <c r="D110" t="s">
        <v>15</v>
      </c>
      <c r="E110" t="s">
        <v>43</v>
      </c>
      <c r="F110">
        <v>2</v>
      </c>
      <c r="G110" s="4">
        <v>18</v>
      </c>
      <c r="H110" s="4">
        <v>36</v>
      </c>
      <c r="I110" s="4">
        <v>18</v>
      </c>
      <c r="J110" s="4">
        <v>18</v>
      </c>
    </row>
    <row r="111" spans="1:10" x14ac:dyDescent="0.3">
      <c r="A111" t="s">
        <v>146</v>
      </c>
      <c r="B111" s="10">
        <v>45941</v>
      </c>
      <c r="C111" t="s">
        <v>26</v>
      </c>
      <c r="D111" t="s">
        <v>15</v>
      </c>
      <c r="E111" t="s">
        <v>40</v>
      </c>
      <c r="F111">
        <v>9</v>
      </c>
      <c r="G111" s="4">
        <v>32</v>
      </c>
      <c r="H111" s="4">
        <v>288</v>
      </c>
      <c r="I111" s="4">
        <v>162</v>
      </c>
      <c r="J111" s="4">
        <v>126</v>
      </c>
    </row>
    <row r="112" spans="1:10" x14ac:dyDescent="0.3">
      <c r="A112" t="s">
        <v>147</v>
      </c>
      <c r="B112" s="10">
        <v>45991</v>
      </c>
      <c r="C112" t="s">
        <v>26</v>
      </c>
      <c r="D112" t="s">
        <v>16</v>
      </c>
      <c r="E112" t="s">
        <v>27</v>
      </c>
      <c r="F112">
        <v>2</v>
      </c>
      <c r="G112" s="4">
        <v>12</v>
      </c>
      <c r="H112" s="4">
        <v>24</v>
      </c>
      <c r="I112" s="4">
        <v>10</v>
      </c>
      <c r="J112" s="4">
        <v>14</v>
      </c>
    </row>
    <row r="113" spans="1:10" x14ac:dyDescent="0.3">
      <c r="A113" t="s">
        <v>148</v>
      </c>
      <c r="B113" s="10">
        <v>45778</v>
      </c>
      <c r="C113" t="s">
        <v>26</v>
      </c>
      <c r="D113" t="s">
        <v>17</v>
      </c>
      <c r="E113" t="s">
        <v>45</v>
      </c>
      <c r="F113">
        <v>11</v>
      </c>
      <c r="G113" s="4">
        <v>120</v>
      </c>
      <c r="H113" s="4">
        <v>1320</v>
      </c>
      <c r="I113" s="4">
        <v>902</v>
      </c>
      <c r="J113" s="4">
        <v>418</v>
      </c>
    </row>
    <row r="114" spans="1:10" x14ac:dyDescent="0.3">
      <c r="A114" t="s">
        <v>149</v>
      </c>
      <c r="B114" s="10">
        <v>45991</v>
      </c>
      <c r="C114" t="s">
        <v>26</v>
      </c>
      <c r="D114" t="s">
        <v>16</v>
      </c>
      <c r="E114" t="s">
        <v>27</v>
      </c>
      <c r="F114">
        <v>4</v>
      </c>
      <c r="G114" s="4">
        <v>12</v>
      </c>
      <c r="H114" s="4">
        <v>48</v>
      </c>
      <c r="I114" s="4">
        <v>20</v>
      </c>
      <c r="J114" s="4">
        <v>28</v>
      </c>
    </row>
    <row r="115" spans="1:10" x14ac:dyDescent="0.3">
      <c r="A115" t="s">
        <v>150</v>
      </c>
      <c r="B115" s="10">
        <v>45663</v>
      </c>
      <c r="C115" t="s">
        <v>29</v>
      </c>
      <c r="D115" t="s">
        <v>16</v>
      </c>
      <c r="E115" t="s">
        <v>27</v>
      </c>
      <c r="F115">
        <v>1</v>
      </c>
      <c r="G115" s="4">
        <v>12</v>
      </c>
      <c r="H115" s="4">
        <v>12</v>
      </c>
      <c r="I115" s="4">
        <v>5</v>
      </c>
      <c r="J115" s="4">
        <v>7</v>
      </c>
    </row>
    <row r="116" spans="1:10" x14ac:dyDescent="0.3">
      <c r="A116" t="s">
        <v>151</v>
      </c>
      <c r="B116" s="10">
        <v>45871</v>
      </c>
      <c r="C116" t="s">
        <v>33</v>
      </c>
      <c r="D116" t="s">
        <v>17</v>
      </c>
      <c r="E116" t="s">
        <v>30</v>
      </c>
      <c r="F116">
        <v>2</v>
      </c>
      <c r="G116" s="4">
        <v>38</v>
      </c>
      <c r="H116" s="4">
        <v>76</v>
      </c>
      <c r="I116" s="4">
        <v>42</v>
      </c>
      <c r="J116" s="4">
        <v>34</v>
      </c>
    </row>
    <row r="117" spans="1:10" x14ac:dyDescent="0.3">
      <c r="A117" t="s">
        <v>152</v>
      </c>
      <c r="B117" s="10">
        <v>46016</v>
      </c>
      <c r="C117" t="s">
        <v>33</v>
      </c>
      <c r="D117" t="s">
        <v>17</v>
      </c>
      <c r="E117" t="s">
        <v>30</v>
      </c>
      <c r="F117">
        <v>2</v>
      </c>
      <c r="G117" s="4">
        <v>38</v>
      </c>
      <c r="H117" s="4">
        <v>76</v>
      </c>
      <c r="I117" s="4">
        <v>42</v>
      </c>
      <c r="J117" s="4">
        <v>34</v>
      </c>
    </row>
    <row r="118" spans="1:10" x14ac:dyDescent="0.3">
      <c r="A118" t="s">
        <v>153</v>
      </c>
      <c r="B118" s="10">
        <v>45707</v>
      </c>
      <c r="C118" t="s">
        <v>36</v>
      </c>
      <c r="D118" t="s">
        <v>16</v>
      </c>
      <c r="E118" t="s">
        <v>34</v>
      </c>
      <c r="F118">
        <v>9</v>
      </c>
      <c r="G118" s="4">
        <v>20</v>
      </c>
      <c r="H118" s="4">
        <v>180</v>
      </c>
      <c r="I118" s="4">
        <v>81</v>
      </c>
      <c r="J118" s="4">
        <v>99</v>
      </c>
    </row>
    <row r="119" spans="1:10" x14ac:dyDescent="0.3">
      <c r="A119" t="s">
        <v>154</v>
      </c>
      <c r="B119" s="10">
        <v>45715</v>
      </c>
      <c r="C119" t="s">
        <v>26</v>
      </c>
      <c r="D119" t="s">
        <v>17</v>
      </c>
      <c r="E119" t="s">
        <v>45</v>
      </c>
      <c r="F119">
        <v>5</v>
      </c>
      <c r="G119" s="4">
        <v>120</v>
      </c>
      <c r="H119" s="4">
        <v>600</v>
      </c>
      <c r="I119" s="4">
        <v>410</v>
      </c>
      <c r="J119" s="4">
        <v>190</v>
      </c>
    </row>
    <row r="120" spans="1:10" x14ac:dyDescent="0.3">
      <c r="A120" t="s">
        <v>155</v>
      </c>
      <c r="B120" s="10">
        <v>45940</v>
      </c>
      <c r="C120" t="s">
        <v>33</v>
      </c>
      <c r="D120" t="s">
        <v>15</v>
      </c>
      <c r="E120" t="s">
        <v>37</v>
      </c>
      <c r="F120">
        <v>6</v>
      </c>
      <c r="G120" s="4">
        <v>45</v>
      </c>
      <c r="H120" s="4">
        <v>270</v>
      </c>
      <c r="I120" s="4">
        <v>162</v>
      </c>
      <c r="J120" s="4">
        <v>108</v>
      </c>
    </row>
    <row r="121" spans="1:10" x14ac:dyDescent="0.3">
      <c r="A121" t="s">
        <v>156</v>
      </c>
      <c r="B121" s="10">
        <v>45926</v>
      </c>
      <c r="C121" t="s">
        <v>26</v>
      </c>
      <c r="D121" t="s">
        <v>17</v>
      </c>
      <c r="E121" t="s">
        <v>30</v>
      </c>
      <c r="F121">
        <v>5</v>
      </c>
      <c r="G121" s="4">
        <v>38</v>
      </c>
      <c r="H121" s="4">
        <v>190</v>
      </c>
      <c r="I121" s="4">
        <v>105</v>
      </c>
      <c r="J121" s="4">
        <v>85</v>
      </c>
    </row>
  </sheetData>
  <autoFilter ref="A1:J1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Prasanna Gade</cp:lastModifiedBy>
  <dcterms:created xsi:type="dcterms:W3CDTF">2026-10-28T01:40:28Z</dcterms:created>
  <dcterms:modified xsi:type="dcterms:W3CDTF">2026-10-28T01:58:19Z</dcterms:modified>
</cp:coreProperties>
</file>